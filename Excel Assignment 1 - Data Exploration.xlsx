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C734642F-1F93-44DA-A612-5521929E7A9B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nstructions" sheetId="1" r:id="rId1"/>
    <sheet name="Dataset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16" i="2" l="1"/>
  <c r="N15" i="2"/>
  <c r="N14" i="2"/>
  <c r="N13" i="2"/>
  <c r="N12" i="2"/>
  <c r="R7" i="2"/>
  <c r="R6" i="2"/>
  <c r="R5" i="2"/>
  <c r="R4" i="2"/>
  <c r="R3" i="2"/>
  <c r="N7" i="2"/>
  <c r="N6" i="2"/>
  <c r="N5" i="2"/>
  <c r="N4" i="2"/>
  <c r="N3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E48" i="2"/>
  <c r="E47" i="2"/>
  <c r="E44" i="2"/>
  <c r="E43" i="2"/>
  <c r="E42" i="2"/>
</calcChain>
</file>

<file path=xl/sharedStrings.xml><?xml version="1.0" encoding="utf-8"?>
<sst xmlns="http://schemas.openxmlformats.org/spreadsheetml/2006/main" count="212" uniqueCount="132">
  <si>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</si>
  <si>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</si>
  <si>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</si>
  <si>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</si>
  <si>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</si>
  <si>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</si>
  <si>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</si>
  <si>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</si>
  <si>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</si>
  <si>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</si>
  <si>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</si>
  <si>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</si>
  <si>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</si>
  <si>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</si>
  <si>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</si>
  <si>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</si>
  <si>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</si>
  <si>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</si>
  <si>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</si>
  <si>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</si>
  <si>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</si>
  <si>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</si>
  <si>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</si>
  <si>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IF FUNCTION</t>
  </si>
  <si>
    <t>LEFT</t>
  </si>
  <si>
    <t>RIGHT</t>
  </si>
  <si>
    <t>MID</t>
  </si>
  <si>
    <t>SUMIF</t>
  </si>
  <si>
    <t>COUNT IF</t>
  </si>
  <si>
    <t>28-JAN-US</t>
  </si>
  <si>
    <t>Laptop</t>
  </si>
  <si>
    <t>Dell</t>
  </si>
  <si>
    <t>Electronics</t>
  </si>
  <si>
    <t>S.NO</t>
  </si>
  <si>
    <t>CATEGORY</t>
  </si>
  <si>
    <t>SUM OF CATEGORY</t>
  </si>
  <si>
    <t>COUNT  OF CATEGORY</t>
  </si>
  <si>
    <t>15-FEB-US</t>
  </si>
  <si>
    <t>Sneakers</t>
  </si>
  <si>
    <t>Nike</t>
  </si>
  <si>
    <t>Fashion</t>
  </si>
  <si>
    <t>FASHION</t>
  </si>
  <si>
    <t>03-MAR-US</t>
  </si>
  <si>
    <t>Coffee Maker</t>
  </si>
  <si>
    <t>Keurig</t>
  </si>
  <si>
    <t>Kitchen</t>
  </si>
  <si>
    <t>KITCHEN</t>
  </si>
  <si>
    <t>11-APR-US</t>
  </si>
  <si>
    <t>Smartphone</t>
  </si>
  <si>
    <t>Samsung</t>
  </si>
  <si>
    <t>ELECTRONICS</t>
  </si>
  <si>
    <t>22-MAY-US</t>
  </si>
  <si>
    <t>Backpack</t>
  </si>
  <si>
    <t>North Face</t>
  </si>
  <si>
    <t>Outdoor</t>
  </si>
  <si>
    <t>OUTDOOR</t>
  </si>
  <si>
    <t>07-JUN-UK</t>
  </si>
  <si>
    <t>Headphones</t>
  </si>
  <si>
    <t>Sony</t>
  </si>
  <si>
    <t>ACCESSORIES</t>
  </si>
  <si>
    <t>19-JUL-UK</t>
  </si>
  <si>
    <t>T-shirt</t>
  </si>
  <si>
    <t>Adidas</t>
  </si>
  <si>
    <t>23-AUG-UK</t>
  </si>
  <si>
    <t>Blender</t>
  </si>
  <si>
    <t>Ninja</t>
  </si>
  <si>
    <t>AVERAGE IF</t>
  </si>
  <si>
    <t>05-SEP-UK</t>
  </si>
  <si>
    <t>Tablet</t>
  </si>
  <si>
    <t>Apple</t>
  </si>
  <si>
    <t>14-OCT-UK</t>
  </si>
  <si>
    <t>Hiking Boots</t>
  </si>
  <si>
    <t>Timberland</t>
  </si>
  <si>
    <t>AVERAGE OF CATEGORY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</si>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</sst>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b/>
      <sz val="10"/>
      <color rgb="FF000000"/>
      <name val="Arial"/>
      <scheme val="minor"/>
    </font>
    <font>
      <b/>
      <sz val="12"/>
      <color rgb="FF000000"/>
      <name val="Arial"/>
      <scheme val="minor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/>
    <xf numFmtId="0" fontId="7" fillId="0" borderId="0" xfId="0" applyFont="1" applyAlignment="1"/>
    <xf numFmtId="2" fontId="7" fillId="0" borderId="0" xfId="0" applyNumberFormat="1" applyFont="1" applyAlignment="1"/>
    <xf numFmtId="0" fontId="5" fillId="0" borderId="0" xfId="0" applyFont="1"/>
    <xf numFmtId="0" fontId="8" fillId="2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/>
    <xf numFmtId="0" fontId="0" fillId="0" borderId="0" xfId="0" applyFont="1" applyAlignment="1">
      <alignment wrapText="1"/>
    </xf>
    <xf numFmtId="2" fontId="0" fillId="0" borderId="0" xfId="0" applyNumberFormat="1" applyFont="1" applyAlignment="1"/>
  </cellXfs>
  <cellStyles count="1">
    <cellStyle name="Normal" xfId="0" builtinId="0"/>
  </cellStyles>
  <dxfs count="1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542BF-4E70-4670-841A-1ED02705B80E}" name="Table1" displayName="Table1" ref="A1:J35" totalsRowShown="0" headerRowDxfId="12" dataDxfId="11">
  <autoFilter ref="A1:J35" xr:uid="{789542BF-4E70-4670-841A-1ED02705B80E}"/>
  <tableColumns count="10">
    <tableColumn id="1" xr3:uid="{1813E1D4-1CB8-4F8E-92C8-D0E705D92D60}" name="Product ID" dataDxfId="10"/>
    <tableColumn id="2" xr3:uid="{1986C003-CE7D-43A5-BF67-57642BB5F048}" name="Product Name" dataDxfId="9"/>
    <tableColumn id="3" xr3:uid="{902D2A74-50DD-4F5B-A409-7B57DDD533C9}" name="Brand Name" dataDxfId="8"/>
    <tableColumn id="4" xr3:uid="{30707982-168A-4F4D-A857-DA45ECA4D8DC}" name="Price ($)" dataDxfId="7"/>
    <tableColumn id="5" xr3:uid="{A855A795-D726-48C4-B247-4D71471FECAE}" name="Quantity" dataDxfId="6"/>
    <tableColumn id="6" xr3:uid="{63845417-B6FE-4B0B-8B53-71E63DFF2ACC}" name="Category" dataDxfId="5"/>
    <tableColumn id="7" xr3:uid="{03F6D01C-1490-411D-9271-B8970A92FC0C}" name="IF FUNCTION" dataDxfId="4">
      <calculatedColumnFormula>IF(D2&gt;=300,"HIGHEST PRICE","LOWEST PRICE")</calculatedColumnFormula>
    </tableColumn>
    <tableColumn id="8" xr3:uid="{526EED6A-189E-4DDD-9223-3CF338E98021}" name="LEFT" dataDxfId="3">
      <calculatedColumnFormula>LEFT(B4,4)</calculatedColumnFormula>
    </tableColumn>
    <tableColumn id="9" xr3:uid="{1DF89B3C-4358-465D-A495-25A2EBCF63EC}" name="RIGHT" dataDxfId="2">
      <calculatedColumnFormula>RIGHT(B2,4)</calculatedColumnFormula>
    </tableColumn>
    <tableColumn id="10" xr3:uid="{A2214990-8B5E-486B-9697-54152F5B0C54}" name="MID" dataDxfId="1">
      <calculatedColumnFormula>MID(B2,1,6)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6EFA9C-07A4-4DBD-AD90-4809BF5ADD76}" name="Table25" displayName="Table25" ref="L2:N7" totalsRowShown="0">
  <autoFilter ref="L2:N7" xr:uid="{466EFA9C-07A4-4DBD-AD90-4809BF5ADD76}"/>
  <tableColumns count="3">
    <tableColumn id="1" xr3:uid="{251CF7EA-9EB6-4BAB-B21E-D41F2E51BB15}" name="S.NO"/>
    <tableColumn id="2" xr3:uid="{C0EA2710-54E8-4753-84D1-443C76206DA3}" name="CATEGORY"/>
    <tableColumn id="3" xr3:uid="{9044EF6F-F2B2-4368-8555-0F7C9F8FEEDE}" name="SUM OF CATEGORY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9CC0A4-AB8B-4D58-AA9A-76467A88E14C}" name="Table258" displayName="Table258" ref="P2:R7" totalsRowShown="0">
  <autoFilter ref="P2:R7" xr:uid="{CE9CC0A4-AB8B-4D58-AA9A-76467A88E14C}"/>
  <tableColumns count="3">
    <tableColumn id="1" xr3:uid="{BEED6319-C168-41DC-92F5-5B2E65DA2102}" name="S.NO"/>
    <tableColumn id="2" xr3:uid="{5A5E6352-0B04-4018-A262-C4B44367B2DC}" name="CATEGORY"/>
    <tableColumn id="3" xr3:uid="{09E473E1-0463-4591-A49F-4168650B3646}" name="COUNT  OF CATEGORY" dataDxfId="0">
      <calculatedColumnFormula>COUNTIF(F:F,"FASHION")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135ECB-3C62-4E33-883C-46208A3ABB70}" name="Table259" displayName="Table259" ref="L11:N16" totalsRowShown="0">
  <autoFilter ref="L11:N16" xr:uid="{40135ECB-3C62-4E33-883C-46208A3ABB70}"/>
  <tableColumns count="3">
    <tableColumn id="1" xr3:uid="{AD012ADC-7B14-43EF-89D4-F3C85F6803CF}" name="S.NO"/>
    <tableColumn id="2" xr3:uid="{CC457E16-FBC5-4A3D-A9AF-D17AFE82EE9B}" name="CATEGORY"/>
    <tableColumn id="3" xr3:uid="{BCCB97D2-4C2A-4287-BCD9-9560F63AA274}" name="AVERAGE OF CATEGOR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abSelected="1" workbookViewId="0">
      <selection activeCell="N12" sqref="N12"/>
    </sheetView>
  </sheetViews>
  <sheetFormatPr defaultColWidth="12.5703125" defaultRowHeight="15" customHeight="1"/>
  <cols>
    <col min="1" max="1" width="62.5703125" customWidth="1"/>
    <col min="2" max="2" width="42.7109375" customWidth="1"/>
    <col min="3" max="3" width="160.140625" customWidth="1"/>
    <col min="4" max="6" width="12.5703125" customWidth="1"/>
    <col min="7" max="7" width="21.28515625" customWidth="1"/>
    <col min="13" max="13" width="22.85546875" bestFit="1" customWidth="1"/>
    <col min="14" max="14" width="26.42578125" bestFit="1" customWidth="1"/>
    <col min="15" max="15" width="23.85546875" bestFit="1" customWidth="1"/>
    <col min="16" max="16" width="7.7109375" bestFit="1" customWidth="1"/>
    <col min="17" max="17" width="15.85546875" bestFit="1" customWidth="1"/>
    <col min="18" max="18" width="27.5703125" bestFit="1" customWidth="1"/>
  </cols>
  <sheetData>
    <row r="1" spans="1:18" ht="15.75" customHeight="1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9" t="s">
        <v>26</v>
      </c>
      <c r="M1" s="6" t="s">
        <v>27</v>
      </c>
      <c r="Q1" s="6" t="s">
        <v>28</v>
      </c>
    </row>
    <row r="2" spans="1:18" ht="15.75" customHeight="1">
      <c r="A2" s="8" t="s">
        <v>29</v>
      </c>
      <c r="B2" s="8" t="s">
        <v>30</v>
      </c>
      <c r="C2" s="8" t="s">
        <v>31</v>
      </c>
      <c r="D2" s="8">
        <v>1000</v>
      </c>
      <c r="E2" s="8">
        <v>30</v>
      </c>
      <c r="F2" s="8" t="s">
        <v>32</v>
      </c>
      <c r="G2" s="10" t="str">
        <f t="shared" ref="G2:G35" si="0">IF(D2&gt;=300,"HIGHEST PRICE","LOWEST PRICE")</f>
        <v>HIGHEST PRICE</v>
      </c>
      <c r="H2" s="11" t="str">
        <f t="shared" ref="H2:H35" si="1">LEFT(B4,4)</f>
        <v>Coff</v>
      </c>
      <c r="I2" s="11" t="str">
        <f t="shared" ref="I2:I35" si="2">RIGHT(B2,4)</f>
        <v>ptop</v>
      </c>
      <c r="J2" s="11" t="str">
        <f t="shared" ref="J2:J35" si="3">MID(B2,1,6)</f>
        <v>Laptop</v>
      </c>
      <c r="L2" t="s">
        <v>33</v>
      </c>
      <c r="M2" t="s">
        <v>34</v>
      </c>
      <c r="N2" t="s">
        <v>35</v>
      </c>
      <c r="P2" t="s">
        <v>33</v>
      </c>
      <c r="Q2" t="s">
        <v>34</v>
      </c>
      <c r="R2" t="s">
        <v>36</v>
      </c>
    </row>
    <row r="3" spans="1:18" ht="15.75" customHeight="1">
      <c r="A3" s="10" t="s">
        <v>37</v>
      </c>
      <c r="B3" s="10" t="s">
        <v>38</v>
      </c>
      <c r="C3" s="10" t="s">
        <v>39</v>
      </c>
      <c r="D3" s="10">
        <v>80</v>
      </c>
      <c r="E3" s="10">
        <v>15</v>
      </c>
      <c r="F3" s="10" t="s">
        <v>40</v>
      </c>
      <c r="G3" s="10" t="str">
        <f t="shared" si="0"/>
        <v>LOWEST PRICE</v>
      </c>
      <c r="H3" s="11" t="str">
        <f t="shared" si="1"/>
        <v>Smar</v>
      </c>
      <c r="I3" s="11" t="str">
        <f t="shared" si="2"/>
        <v>kers</v>
      </c>
      <c r="J3" s="11" t="str">
        <f t="shared" si="3"/>
        <v>Sneake</v>
      </c>
      <c r="L3">
        <v>1</v>
      </c>
      <c r="M3" t="s">
        <v>41</v>
      </c>
      <c r="N3">
        <f>SUMIF(F:F,"FASHION",D:D)</f>
        <v>590</v>
      </c>
      <c r="P3">
        <v>1</v>
      </c>
      <c r="Q3" t="s">
        <v>41</v>
      </c>
      <c r="R3">
        <f t="shared" ref="R3" si="4">COUNTIF(F:F,"FASHION")</f>
        <v>7</v>
      </c>
    </row>
    <row r="4" spans="1:18" ht="15.75" customHeight="1">
      <c r="A4" s="8" t="s">
        <v>42</v>
      </c>
      <c r="B4" s="8" t="s">
        <v>43</v>
      </c>
      <c r="C4" s="8" t="s">
        <v>44</v>
      </c>
      <c r="D4" s="8">
        <v>130</v>
      </c>
      <c r="E4" s="8">
        <v>40</v>
      </c>
      <c r="F4" s="8" t="s">
        <v>45</v>
      </c>
      <c r="G4" s="10" t="str">
        <f t="shared" si="0"/>
        <v>LOWEST PRICE</v>
      </c>
      <c r="H4" s="11" t="str">
        <f t="shared" si="1"/>
        <v>Back</v>
      </c>
      <c r="I4" s="11" t="str">
        <f t="shared" si="2"/>
        <v>aker</v>
      </c>
      <c r="J4" s="11" t="str">
        <f t="shared" si="3"/>
        <v>Coffee</v>
      </c>
      <c r="L4">
        <v>2</v>
      </c>
      <c r="M4" t="s">
        <v>46</v>
      </c>
      <c r="N4">
        <f>SUMIF(F:F,"KITCHEN",D:D)</f>
        <v>860</v>
      </c>
      <c r="P4">
        <v>2</v>
      </c>
      <c r="Q4" t="s">
        <v>46</v>
      </c>
      <c r="R4">
        <f>COUNTIF(F:F,"KITCHEN")</f>
        <v>6</v>
      </c>
    </row>
    <row r="5" spans="1:18" ht="15.75" customHeight="1">
      <c r="A5" s="10" t="s">
        <v>47</v>
      </c>
      <c r="B5" s="10" t="s">
        <v>48</v>
      </c>
      <c r="C5" s="10" t="s">
        <v>49</v>
      </c>
      <c r="D5" s="10">
        <v>900</v>
      </c>
      <c r="E5" s="10">
        <v>25</v>
      </c>
      <c r="F5" s="10" t="s">
        <v>32</v>
      </c>
      <c r="G5" s="10" t="str">
        <f t="shared" si="0"/>
        <v>HIGHEST PRICE</v>
      </c>
      <c r="H5" s="11" t="str">
        <f t="shared" si="1"/>
        <v>Head</v>
      </c>
      <c r="I5" s="11" t="str">
        <f t="shared" si="2"/>
        <v>hone</v>
      </c>
      <c r="J5" s="11" t="str">
        <f t="shared" si="3"/>
        <v>Smartp</v>
      </c>
      <c r="L5">
        <v>3</v>
      </c>
      <c r="M5" t="s">
        <v>50</v>
      </c>
      <c r="N5">
        <f>SUMIF(F:F,"ELECTRONICS",D:D)</f>
        <v>8050</v>
      </c>
      <c r="P5">
        <v>3</v>
      </c>
      <c r="Q5" t="s">
        <v>50</v>
      </c>
      <c r="R5">
        <f>COUNTIF(F:F,"ELECTRONICS")</f>
        <v>15</v>
      </c>
    </row>
    <row r="6" spans="1:18" ht="15.75" customHeight="1">
      <c r="A6" s="8" t="s">
        <v>51</v>
      </c>
      <c r="B6" s="8" t="s">
        <v>52</v>
      </c>
      <c r="C6" s="8" t="s">
        <v>53</v>
      </c>
      <c r="D6" s="8">
        <v>70</v>
      </c>
      <c r="E6" s="8">
        <v>20</v>
      </c>
      <c r="F6" s="8" t="s">
        <v>54</v>
      </c>
      <c r="G6" s="10" t="str">
        <f t="shared" si="0"/>
        <v>LOWEST PRICE</v>
      </c>
      <c r="H6" s="11" t="str">
        <f t="shared" si="1"/>
        <v>T-sh</v>
      </c>
      <c r="I6" s="11" t="str">
        <f t="shared" si="2"/>
        <v>pack</v>
      </c>
      <c r="J6" s="11" t="str">
        <f t="shared" si="3"/>
        <v>Backpa</v>
      </c>
      <c r="L6">
        <v>5</v>
      </c>
      <c r="M6" s="12" t="s">
        <v>55</v>
      </c>
      <c r="N6">
        <f>SUMIF(F:F,"OUTDOOR",D:D)</f>
        <v>400</v>
      </c>
      <c r="P6">
        <v>5</v>
      </c>
      <c r="Q6" s="12" t="s">
        <v>55</v>
      </c>
      <c r="R6">
        <f>COUNTIF(F:F,"OUTDOOR")</f>
        <v>3</v>
      </c>
    </row>
    <row r="7" spans="1:18" ht="15.75" customHeight="1">
      <c r="A7" s="10" t="s">
        <v>56</v>
      </c>
      <c r="B7" s="10" t="s">
        <v>57</v>
      </c>
      <c r="C7" s="10" t="s">
        <v>58</v>
      </c>
      <c r="D7" s="10">
        <v>200</v>
      </c>
      <c r="E7" s="10">
        <v>45</v>
      </c>
      <c r="F7" s="10" t="s">
        <v>32</v>
      </c>
      <c r="G7" s="10" t="str">
        <f t="shared" si="0"/>
        <v>LOWEST PRICE</v>
      </c>
      <c r="H7" s="11" t="str">
        <f t="shared" si="1"/>
        <v>Blen</v>
      </c>
      <c r="I7" s="11" t="str">
        <f t="shared" si="2"/>
        <v>ones</v>
      </c>
      <c r="J7" s="11" t="str">
        <f t="shared" si="3"/>
        <v>Headph</v>
      </c>
      <c r="L7">
        <v>6</v>
      </c>
      <c r="M7" t="s">
        <v>59</v>
      </c>
      <c r="N7">
        <f>SUMIF(F:F,"ACCESSORIES",D:D)</f>
        <v>200</v>
      </c>
      <c r="P7">
        <v>6</v>
      </c>
      <c r="Q7" t="s">
        <v>59</v>
      </c>
      <c r="R7">
        <f>COUNTIF(F:F,"ACCESSORIES")</f>
        <v>3</v>
      </c>
    </row>
    <row r="8" spans="1:18" ht="15.75" customHeight="1">
      <c r="A8" s="8" t="s">
        <v>60</v>
      </c>
      <c r="B8" s="8" t="s">
        <v>61</v>
      </c>
      <c r="C8" s="8" t="s">
        <v>62</v>
      </c>
      <c r="D8" s="8">
        <v>30</v>
      </c>
      <c r="E8" s="8">
        <v>5</v>
      </c>
      <c r="F8" s="8" t="s">
        <v>40</v>
      </c>
      <c r="G8" s="10" t="str">
        <f t="shared" si="0"/>
        <v>LOWEST PRICE</v>
      </c>
      <c r="H8" s="11" t="str">
        <f t="shared" si="1"/>
        <v>Tabl</v>
      </c>
      <c r="I8" s="11" t="str">
        <f t="shared" si="2"/>
        <v>hirt</v>
      </c>
      <c r="J8" s="11" t="str">
        <f t="shared" si="3"/>
        <v>T-shir</v>
      </c>
      <c r="M8" s="6"/>
    </row>
    <row r="9" spans="1:18" ht="15.75" customHeight="1">
      <c r="A9" s="10" t="s">
        <v>63</v>
      </c>
      <c r="B9" s="10" t="s">
        <v>64</v>
      </c>
      <c r="C9" s="10" t="s">
        <v>65</v>
      </c>
      <c r="D9" s="10">
        <v>90</v>
      </c>
      <c r="E9" s="10">
        <v>35</v>
      </c>
      <c r="F9" s="10" t="s">
        <v>45</v>
      </c>
      <c r="G9" s="10" t="str">
        <f t="shared" si="0"/>
        <v>LOWEST PRICE</v>
      </c>
      <c r="H9" s="11" t="str">
        <f t="shared" si="1"/>
        <v>Hiki</v>
      </c>
      <c r="I9" s="11" t="str">
        <f t="shared" si="2"/>
        <v>nder</v>
      </c>
      <c r="J9" s="11" t="str">
        <f t="shared" si="3"/>
        <v>Blende</v>
      </c>
      <c r="M9" s="6" t="s">
        <v>66</v>
      </c>
    </row>
    <row r="10" spans="1:18" ht="15.75" customHeight="1">
      <c r="A10" s="8" t="s">
        <v>67</v>
      </c>
      <c r="B10" s="8" t="s">
        <v>68</v>
      </c>
      <c r="C10" s="8" t="s">
        <v>69</v>
      </c>
      <c r="D10" s="8">
        <v>500</v>
      </c>
      <c r="E10" s="8">
        <v>50</v>
      </c>
      <c r="F10" s="8" t="s">
        <v>32</v>
      </c>
      <c r="G10" s="10" t="str">
        <f t="shared" si="0"/>
        <v>HIGHEST PRICE</v>
      </c>
      <c r="H10" s="11" t="str">
        <f t="shared" si="1"/>
        <v>Lapt</v>
      </c>
      <c r="I10" s="11" t="str">
        <f t="shared" si="2"/>
        <v>blet</v>
      </c>
      <c r="J10" s="11" t="str">
        <f t="shared" si="3"/>
        <v>Tablet</v>
      </c>
    </row>
    <row r="11" spans="1:18" ht="15.75" customHeight="1">
      <c r="A11" s="10" t="s">
        <v>70</v>
      </c>
      <c r="B11" s="10" t="s">
        <v>71</v>
      </c>
      <c r="C11" s="10" t="s">
        <v>72</v>
      </c>
      <c r="D11" s="10">
        <v>130</v>
      </c>
      <c r="E11" s="10">
        <v>10</v>
      </c>
      <c r="F11" s="10" t="s">
        <v>54</v>
      </c>
      <c r="G11" s="10" t="str">
        <f t="shared" si="0"/>
        <v>LOWEST PRICE</v>
      </c>
      <c r="H11" s="11" t="str">
        <f t="shared" si="1"/>
        <v>Snea</v>
      </c>
      <c r="I11" s="11" t="str">
        <f t="shared" si="2"/>
        <v>oots</v>
      </c>
      <c r="J11" s="11" t="str">
        <f t="shared" si="3"/>
        <v>Hiking</v>
      </c>
      <c r="L11" t="s">
        <v>33</v>
      </c>
      <c r="M11" t="s">
        <v>34</v>
      </c>
      <c r="N11" t="s">
        <v>73</v>
      </c>
    </row>
    <row r="12" spans="1:18" ht="15.75" customHeight="1">
      <c r="A12" s="8" t="s">
        <v>74</v>
      </c>
      <c r="B12" s="8" t="s">
        <v>30</v>
      </c>
      <c r="C12" s="8" t="s">
        <v>75</v>
      </c>
      <c r="D12" s="8">
        <v>950</v>
      </c>
      <c r="E12" s="8">
        <v>25</v>
      </c>
      <c r="F12" s="8" t="s">
        <v>32</v>
      </c>
      <c r="G12" s="10" t="str">
        <f t="shared" si="0"/>
        <v>HIGHEST PRICE</v>
      </c>
      <c r="H12" s="11" t="str">
        <f t="shared" si="1"/>
        <v>Coff</v>
      </c>
      <c r="I12" s="11" t="str">
        <f t="shared" si="2"/>
        <v>ptop</v>
      </c>
      <c r="J12" s="11" t="str">
        <f t="shared" si="3"/>
        <v>Laptop</v>
      </c>
      <c r="L12">
        <v>1</v>
      </c>
      <c r="M12" t="s">
        <v>41</v>
      </c>
      <c r="N12" s="13">
        <f ca="1">AVERAGEIF(Table1[[#All],[Category]],"FASHION",Table1[Price ($)])</f>
        <v>275.71428571428572</v>
      </c>
    </row>
    <row r="13" spans="1:18" ht="15.75" customHeight="1">
      <c r="A13" s="10" t="s">
        <v>76</v>
      </c>
      <c r="B13" s="10" t="s">
        <v>38</v>
      </c>
      <c r="C13" s="10" t="s">
        <v>62</v>
      </c>
      <c r="D13" s="10">
        <v>90</v>
      </c>
      <c r="E13" s="10">
        <v>40</v>
      </c>
      <c r="F13" s="10" t="s">
        <v>40</v>
      </c>
      <c r="G13" s="10" t="str">
        <f t="shared" si="0"/>
        <v>LOWEST PRICE</v>
      </c>
      <c r="H13" s="11" t="str">
        <f t="shared" si="1"/>
        <v>Smar</v>
      </c>
      <c r="I13" s="11" t="str">
        <f t="shared" si="2"/>
        <v>kers</v>
      </c>
      <c r="J13" s="11" t="str">
        <f t="shared" si="3"/>
        <v>Sneake</v>
      </c>
      <c r="L13">
        <v>2</v>
      </c>
      <c r="M13" t="s">
        <v>46</v>
      </c>
      <c r="N13" s="13">
        <f ca="1">AVERAGEIF(Table1[[#All],[Category]],"KITCHEN",Table1[Price ($)])</f>
        <v>343.33333333333331</v>
      </c>
    </row>
    <row r="14" spans="1:18" ht="15.75" customHeight="1">
      <c r="A14" s="8" t="s">
        <v>77</v>
      </c>
      <c r="B14" s="8" t="s">
        <v>43</v>
      </c>
      <c r="C14" s="8" t="s">
        <v>78</v>
      </c>
      <c r="D14" s="8">
        <v>120</v>
      </c>
      <c r="E14" s="8">
        <v>35</v>
      </c>
      <c r="F14" s="8" t="s">
        <v>45</v>
      </c>
      <c r="G14" s="10" t="str">
        <f t="shared" si="0"/>
        <v>LOWEST PRICE</v>
      </c>
      <c r="H14" s="11" t="str">
        <f t="shared" si="1"/>
        <v>Head</v>
      </c>
      <c r="I14" s="11" t="str">
        <f t="shared" si="2"/>
        <v>aker</v>
      </c>
      <c r="J14" s="11" t="str">
        <f t="shared" si="3"/>
        <v>Coffee</v>
      </c>
      <c r="L14">
        <v>3</v>
      </c>
      <c r="M14" t="s">
        <v>50</v>
      </c>
      <c r="N14" s="13">
        <f>AVERAGEIF(Table1[[#All],[Category]],"ELECTRONICS",Table1[[#All],[Price ($)]])</f>
        <v>536.66666666666663</v>
      </c>
    </row>
    <row r="15" spans="1:18" ht="15.75" customHeight="1">
      <c r="A15" s="10" t="s">
        <v>79</v>
      </c>
      <c r="B15" s="10" t="s">
        <v>80</v>
      </c>
      <c r="C15" s="10" t="s">
        <v>81</v>
      </c>
      <c r="D15" s="10">
        <v>150</v>
      </c>
      <c r="E15" s="10">
        <v>15</v>
      </c>
      <c r="F15" s="10" t="s">
        <v>32</v>
      </c>
      <c r="G15" s="10" t="str">
        <f t="shared" si="0"/>
        <v>LOWEST PRICE</v>
      </c>
      <c r="H15" s="11" t="str">
        <f t="shared" si="1"/>
        <v>Lapt</v>
      </c>
      <c r="I15" s="11" t="str">
        <f t="shared" si="2"/>
        <v>atch</v>
      </c>
      <c r="J15" s="11" t="str">
        <f t="shared" si="3"/>
        <v>Smartw</v>
      </c>
      <c r="L15">
        <v>5</v>
      </c>
      <c r="M15" s="12" t="s">
        <v>55</v>
      </c>
      <c r="N15" s="13">
        <f>AVERAGEIF(Table1[[#All],[Category]],"OUTDOOR",Table1[[#All],[Price ($)]])</f>
        <v>133.33333333333334</v>
      </c>
    </row>
    <row r="16" spans="1:18" ht="15.75" customHeight="1">
      <c r="A16" s="8" t="s">
        <v>82</v>
      </c>
      <c r="B16" s="8" t="s">
        <v>57</v>
      </c>
      <c r="C16" s="8" t="s">
        <v>83</v>
      </c>
      <c r="D16" s="8">
        <v>250</v>
      </c>
      <c r="E16" s="8">
        <v>20</v>
      </c>
      <c r="F16" s="8" t="s">
        <v>32</v>
      </c>
      <c r="G16" s="10" t="str">
        <f t="shared" si="0"/>
        <v>LOWEST PRICE</v>
      </c>
      <c r="H16" s="11" t="str">
        <f t="shared" si="1"/>
        <v>Smar</v>
      </c>
      <c r="I16" s="11" t="str">
        <f t="shared" si="2"/>
        <v>ones</v>
      </c>
      <c r="J16" s="11" t="str">
        <f t="shared" si="3"/>
        <v>Headph</v>
      </c>
      <c r="L16">
        <v>6</v>
      </c>
      <c r="M16" t="s">
        <v>59</v>
      </c>
      <c r="N16" s="13">
        <f>AVERAGEIF(Table1[[#All],[Category]],"ACCESSORIES",Table1[[#All],[Price ($)]])</f>
        <v>66.666666666666671</v>
      </c>
    </row>
    <row r="17" spans="1:10" ht="15.75" customHeight="1">
      <c r="A17" s="10" t="s">
        <v>84</v>
      </c>
      <c r="B17" s="10" t="s">
        <v>85</v>
      </c>
      <c r="C17" s="10" t="s">
        <v>86</v>
      </c>
      <c r="D17" s="10">
        <v>50</v>
      </c>
      <c r="E17" s="10">
        <v>35</v>
      </c>
      <c r="F17" s="10" t="s">
        <v>87</v>
      </c>
      <c r="G17" s="10" t="str">
        <f t="shared" si="0"/>
        <v>LOWEST PRICE</v>
      </c>
      <c r="H17" s="11" t="str">
        <f t="shared" si="1"/>
        <v>Lapt</v>
      </c>
      <c r="I17" s="11" t="str">
        <f t="shared" si="2"/>
        <v xml:space="preserve"> Bag</v>
      </c>
      <c r="J17" s="11" t="str">
        <f t="shared" si="3"/>
        <v>Laptop</v>
      </c>
    </row>
    <row r="18" spans="1:10" ht="15.75" customHeight="1">
      <c r="A18" s="8" t="s">
        <v>88</v>
      </c>
      <c r="B18" s="8" t="s">
        <v>80</v>
      </c>
      <c r="C18" s="8" t="s">
        <v>89</v>
      </c>
      <c r="D18" s="8">
        <v>160</v>
      </c>
      <c r="E18" s="8">
        <v>15</v>
      </c>
      <c r="F18" s="8" t="s">
        <v>32</v>
      </c>
      <c r="G18" s="10" t="str">
        <f t="shared" si="0"/>
        <v>LOWEST PRICE</v>
      </c>
      <c r="H18" s="11" t="str">
        <f t="shared" si="1"/>
        <v>Sung</v>
      </c>
      <c r="I18" s="11" t="str">
        <f t="shared" si="2"/>
        <v>atch</v>
      </c>
      <c r="J18" s="11" t="str">
        <f t="shared" si="3"/>
        <v>Smartw</v>
      </c>
    </row>
    <row r="19" spans="1:10" ht="15.75" customHeight="1">
      <c r="A19" s="10" t="s">
        <v>90</v>
      </c>
      <c r="B19" s="10" t="s">
        <v>30</v>
      </c>
      <c r="C19" s="10" t="s">
        <v>91</v>
      </c>
      <c r="D19" s="10">
        <v>980</v>
      </c>
      <c r="E19" s="10">
        <v>10</v>
      </c>
      <c r="F19" s="10" t="s">
        <v>32</v>
      </c>
      <c r="G19" s="10" t="str">
        <f t="shared" si="0"/>
        <v>HIGHEST PRICE</v>
      </c>
      <c r="H19" s="11" t="str">
        <f t="shared" si="1"/>
        <v>Camp</v>
      </c>
      <c r="I19" s="11" t="str">
        <f t="shared" si="2"/>
        <v>ptop</v>
      </c>
      <c r="J19" s="11" t="str">
        <f t="shared" si="3"/>
        <v>Laptop</v>
      </c>
    </row>
    <row r="20" spans="1:10" ht="15.75" customHeight="1">
      <c r="A20" s="8" t="s">
        <v>92</v>
      </c>
      <c r="B20" s="8" t="s">
        <v>93</v>
      </c>
      <c r="C20" s="8" t="s">
        <v>94</v>
      </c>
      <c r="D20" s="8">
        <v>150</v>
      </c>
      <c r="E20" s="8">
        <v>15</v>
      </c>
      <c r="F20" s="8" t="s">
        <v>40</v>
      </c>
      <c r="G20" s="10" t="str">
        <f t="shared" si="0"/>
        <v>LOWEST PRICE</v>
      </c>
      <c r="H20" s="11" t="str">
        <f t="shared" si="1"/>
        <v>Came</v>
      </c>
      <c r="I20" s="11" t="str">
        <f t="shared" si="2"/>
        <v>sses</v>
      </c>
      <c r="J20" s="11" t="str">
        <f t="shared" si="3"/>
        <v>Sungla</v>
      </c>
    </row>
    <row r="21" spans="1:10" ht="15.75" customHeight="1">
      <c r="A21" s="10" t="s">
        <v>95</v>
      </c>
      <c r="B21" s="10" t="s">
        <v>96</v>
      </c>
      <c r="C21" s="10" t="s">
        <v>97</v>
      </c>
      <c r="D21" s="10">
        <v>200</v>
      </c>
      <c r="E21" s="10">
        <v>10</v>
      </c>
      <c r="F21" s="10" t="s">
        <v>54</v>
      </c>
      <c r="G21" s="10" t="str">
        <f t="shared" si="0"/>
        <v>LOWEST PRICE</v>
      </c>
      <c r="H21" s="11" t="str">
        <f t="shared" si="1"/>
        <v>Micr</v>
      </c>
      <c r="I21" s="11" t="str">
        <f t="shared" si="2"/>
        <v>Tent</v>
      </c>
      <c r="J21" s="11" t="str">
        <f t="shared" si="3"/>
        <v>Campin</v>
      </c>
    </row>
    <row r="22" spans="1:10" ht="15.75" customHeight="1">
      <c r="A22" s="8" t="s">
        <v>98</v>
      </c>
      <c r="B22" s="8" t="s">
        <v>99</v>
      </c>
      <c r="C22" s="8" t="s">
        <v>100</v>
      </c>
      <c r="D22" s="8">
        <v>700</v>
      </c>
      <c r="E22" s="8">
        <v>50</v>
      </c>
      <c r="F22" s="8" t="s">
        <v>32</v>
      </c>
      <c r="G22" s="10" t="str">
        <f t="shared" si="0"/>
        <v>HIGHEST PRICE</v>
      </c>
      <c r="H22" s="11" t="str">
        <f t="shared" si="1"/>
        <v>Fitn</v>
      </c>
      <c r="I22" s="11" t="str">
        <f t="shared" si="2"/>
        <v>mera</v>
      </c>
      <c r="J22" s="11" t="str">
        <f t="shared" si="3"/>
        <v>Camera</v>
      </c>
    </row>
    <row r="23" spans="1:10" ht="15.75" customHeight="1">
      <c r="A23" s="10" t="s">
        <v>101</v>
      </c>
      <c r="B23" s="10" t="s">
        <v>102</v>
      </c>
      <c r="C23" s="10" t="s">
        <v>103</v>
      </c>
      <c r="D23" s="10">
        <v>80</v>
      </c>
      <c r="E23" s="10">
        <v>20</v>
      </c>
      <c r="F23" s="10" t="s">
        <v>45</v>
      </c>
      <c r="G23" s="10" t="str">
        <f t="shared" si="0"/>
        <v>LOWEST PRICE</v>
      </c>
      <c r="H23" s="11" t="str">
        <f t="shared" si="1"/>
        <v>Lapt</v>
      </c>
      <c r="I23" s="11" t="str">
        <f t="shared" si="2"/>
        <v>wave</v>
      </c>
      <c r="J23" s="11" t="str">
        <f t="shared" si="3"/>
        <v>Microw</v>
      </c>
    </row>
    <row r="24" spans="1:10" ht="15.75" customHeight="1">
      <c r="A24" s="8" t="s">
        <v>104</v>
      </c>
      <c r="B24" s="8" t="s">
        <v>105</v>
      </c>
      <c r="C24" s="8" t="s">
        <v>106</v>
      </c>
      <c r="D24" s="8">
        <v>150</v>
      </c>
      <c r="E24" s="8">
        <v>30</v>
      </c>
      <c r="F24" s="8" t="s">
        <v>32</v>
      </c>
      <c r="G24" s="10" t="str">
        <f t="shared" si="0"/>
        <v>LOWEST PRICE</v>
      </c>
      <c r="H24" s="11" t="str">
        <f t="shared" si="1"/>
        <v>Smar</v>
      </c>
      <c r="I24" s="11" t="str">
        <f t="shared" si="2"/>
        <v>cker</v>
      </c>
      <c r="J24" s="11" t="str">
        <f t="shared" si="3"/>
        <v>Fitnes</v>
      </c>
    </row>
    <row r="25" spans="1:10" ht="15.75" customHeight="1">
      <c r="A25" s="10" t="s">
        <v>84</v>
      </c>
      <c r="B25" s="10" t="s">
        <v>85</v>
      </c>
      <c r="C25" s="10" t="s">
        <v>86</v>
      </c>
      <c r="D25" s="10">
        <v>50</v>
      </c>
      <c r="E25" s="10">
        <v>35</v>
      </c>
      <c r="F25" s="10" t="s">
        <v>87</v>
      </c>
      <c r="G25" s="11" t="str">
        <f t="shared" si="0"/>
        <v>LOWEST PRICE</v>
      </c>
      <c r="H25" s="11" t="str">
        <f t="shared" si="1"/>
        <v>Sung</v>
      </c>
      <c r="I25" s="11" t="str">
        <f t="shared" si="2"/>
        <v xml:space="preserve"> Bag</v>
      </c>
      <c r="J25" s="11" t="str">
        <f t="shared" si="3"/>
        <v>Laptop</v>
      </c>
    </row>
    <row r="26" spans="1:10" ht="15.75" customHeight="1">
      <c r="A26" s="8" t="s">
        <v>107</v>
      </c>
      <c r="B26" s="8" t="s">
        <v>48</v>
      </c>
      <c r="C26" s="8" t="s">
        <v>108</v>
      </c>
      <c r="D26" s="8">
        <v>800</v>
      </c>
      <c r="E26" s="8">
        <v>45</v>
      </c>
      <c r="F26" s="8" t="s">
        <v>32</v>
      </c>
      <c r="G26" s="10" t="str">
        <f t="shared" si="0"/>
        <v>HIGHEST PRICE</v>
      </c>
      <c r="H26" s="11" t="str">
        <f t="shared" si="1"/>
        <v>Blen</v>
      </c>
      <c r="I26" s="11" t="str">
        <f t="shared" si="2"/>
        <v>hone</v>
      </c>
      <c r="J26" s="11" t="str">
        <f t="shared" si="3"/>
        <v>Smartp</v>
      </c>
    </row>
    <row r="27" spans="1:10" ht="15.75" customHeight="1">
      <c r="A27" s="10" t="s">
        <v>109</v>
      </c>
      <c r="B27" s="10" t="s">
        <v>93</v>
      </c>
      <c r="C27" s="10" t="s">
        <v>110</v>
      </c>
      <c r="D27" s="10">
        <v>130</v>
      </c>
      <c r="E27" s="10">
        <v>25</v>
      </c>
      <c r="F27" s="10" t="s">
        <v>40</v>
      </c>
      <c r="G27" s="10" t="str">
        <f t="shared" si="0"/>
        <v>LOWEST PRICE</v>
      </c>
      <c r="H27" s="11" t="str">
        <f t="shared" si="1"/>
        <v>Head</v>
      </c>
      <c r="I27" s="11" t="str">
        <f t="shared" si="2"/>
        <v>sses</v>
      </c>
      <c r="J27" s="11" t="str">
        <f t="shared" si="3"/>
        <v>Sungla</v>
      </c>
    </row>
    <row r="28" spans="1:10" ht="15.75" customHeight="1">
      <c r="A28" s="8" t="s">
        <v>111</v>
      </c>
      <c r="B28" s="8" t="s">
        <v>64</v>
      </c>
      <c r="C28" s="8" t="s">
        <v>112</v>
      </c>
      <c r="D28" s="8">
        <v>400</v>
      </c>
      <c r="E28" s="8">
        <v>40</v>
      </c>
      <c r="F28" s="8" t="s">
        <v>45</v>
      </c>
      <c r="G28" s="10" t="str">
        <f t="shared" si="0"/>
        <v>HIGHEST PRICE</v>
      </c>
      <c r="H28" s="11" t="str">
        <f t="shared" si="1"/>
        <v>Dres</v>
      </c>
      <c r="I28" s="11" t="str">
        <f t="shared" si="2"/>
        <v>nder</v>
      </c>
      <c r="J28" s="11" t="str">
        <f t="shared" si="3"/>
        <v>Blende</v>
      </c>
    </row>
    <row r="29" spans="1:10" ht="15.75" customHeight="1">
      <c r="A29" s="10" t="s">
        <v>82</v>
      </c>
      <c r="B29" s="10" t="s">
        <v>57</v>
      </c>
      <c r="C29" s="10" t="s">
        <v>83</v>
      </c>
      <c r="D29" s="10">
        <v>230</v>
      </c>
      <c r="E29" s="10">
        <v>20</v>
      </c>
      <c r="F29" s="10" t="s">
        <v>32</v>
      </c>
      <c r="G29" s="11" t="str">
        <f t="shared" si="0"/>
        <v>LOWEST PRICE</v>
      </c>
      <c r="H29" s="11" t="str">
        <f t="shared" si="1"/>
        <v>Toas</v>
      </c>
      <c r="I29" s="11" t="str">
        <f t="shared" si="2"/>
        <v>ones</v>
      </c>
      <c r="J29" s="11" t="str">
        <f t="shared" si="3"/>
        <v>Headph</v>
      </c>
    </row>
    <row r="30" spans="1:10" ht="15.75" customHeight="1">
      <c r="A30" s="8" t="s">
        <v>113</v>
      </c>
      <c r="B30" s="8" t="s">
        <v>114</v>
      </c>
      <c r="C30" s="8" t="s">
        <v>115</v>
      </c>
      <c r="D30" s="8">
        <v>60</v>
      </c>
      <c r="E30" s="8">
        <v>30</v>
      </c>
      <c r="F30" s="8" t="s">
        <v>40</v>
      </c>
      <c r="G30" s="10" t="str">
        <f t="shared" si="0"/>
        <v>LOWEST PRICE</v>
      </c>
      <c r="H30" s="11" t="str">
        <f t="shared" si="1"/>
        <v>Fitn</v>
      </c>
      <c r="I30" s="11" t="str">
        <f t="shared" si="2"/>
        <v>ress</v>
      </c>
      <c r="J30" s="11" t="str">
        <f t="shared" si="3"/>
        <v>Dress</v>
      </c>
    </row>
    <row r="31" spans="1:10" ht="15.75" customHeight="1">
      <c r="A31" s="10" t="s">
        <v>116</v>
      </c>
      <c r="B31" s="10" t="s">
        <v>117</v>
      </c>
      <c r="C31" s="10" t="s">
        <v>118</v>
      </c>
      <c r="D31" s="10">
        <v>40</v>
      </c>
      <c r="E31" s="10">
        <v>10</v>
      </c>
      <c r="F31" s="10" t="s">
        <v>45</v>
      </c>
      <c r="G31" s="10" t="str">
        <f t="shared" si="0"/>
        <v>LOWEST PRICE</v>
      </c>
      <c r="H31" s="11" t="str">
        <f t="shared" si="1"/>
        <v>Jean</v>
      </c>
      <c r="I31" s="11" t="str">
        <f t="shared" si="2"/>
        <v>ster</v>
      </c>
      <c r="J31" s="11" t="str">
        <f t="shared" si="3"/>
        <v>Toaste</v>
      </c>
    </row>
    <row r="32" spans="1:10" ht="15.75" customHeight="1">
      <c r="A32" s="8" t="s">
        <v>119</v>
      </c>
      <c r="B32" s="8" t="s">
        <v>105</v>
      </c>
      <c r="C32" s="8" t="s">
        <v>120</v>
      </c>
      <c r="D32" s="8">
        <v>130</v>
      </c>
      <c r="E32" s="8">
        <v>5</v>
      </c>
      <c r="F32" s="8" t="s">
        <v>32</v>
      </c>
      <c r="G32" s="10" t="str">
        <f t="shared" si="0"/>
        <v>LOWEST PRICE</v>
      </c>
      <c r="H32" s="11" t="str">
        <f t="shared" si="1"/>
        <v>Lapt</v>
      </c>
      <c r="I32" s="11" t="str">
        <f t="shared" si="2"/>
        <v>cker</v>
      </c>
      <c r="J32" s="11" t="str">
        <f t="shared" si="3"/>
        <v>Fitnes</v>
      </c>
    </row>
    <row r="33" spans="1:10" ht="15.75" customHeight="1">
      <c r="A33" s="10" t="s">
        <v>121</v>
      </c>
      <c r="B33" s="10" t="s">
        <v>122</v>
      </c>
      <c r="C33" s="10" t="s">
        <v>123</v>
      </c>
      <c r="D33" s="10">
        <v>50</v>
      </c>
      <c r="E33" s="10">
        <v>50</v>
      </c>
      <c r="F33" s="10" t="s">
        <v>40</v>
      </c>
      <c r="G33" s="10" t="str">
        <f t="shared" si="0"/>
        <v>LOWEST PRICE</v>
      </c>
      <c r="H33" s="11" t="str">
        <f t="shared" si="1"/>
        <v>Watc</v>
      </c>
      <c r="I33" s="11" t="str">
        <f t="shared" si="2"/>
        <v>eans</v>
      </c>
      <c r="J33" s="11" t="str">
        <f t="shared" si="3"/>
        <v>Jeans</v>
      </c>
    </row>
    <row r="34" spans="1:10" ht="15.75" customHeight="1">
      <c r="A34" s="8" t="s">
        <v>74</v>
      </c>
      <c r="B34" s="8" t="s">
        <v>30</v>
      </c>
      <c r="C34" s="8" t="s">
        <v>75</v>
      </c>
      <c r="D34" s="8">
        <v>950</v>
      </c>
      <c r="E34" s="8">
        <v>25</v>
      </c>
      <c r="F34" s="8" t="s">
        <v>32</v>
      </c>
      <c r="G34" s="10" t="str">
        <f t="shared" si="0"/>
        <v>HIGHEST PRICE</v>
      </c>
      <c r="H34" s="11" t="str">
        <f t="shared" si="1"/>
        <v/>
      </c>
      <c r="I34" s="11" t="str">
        <f t="shared" si="2"/>
        <v>ptop</v>
      </c>
      <c r="J34" s="11" t="str">
        <f t="shared" si="3"/>
        <v>Laptop</v>
      </c>
    </row>
    <row r="35" spans="1:10" ht="15.75" customHeight="1">
      <c r="A35" s="10" t="s">
        <v>124</v>
      </c>
      <c r="B35" s="10" t="s">
        <v>125</v>
      </c>
      <c r="C35" s="10" t="s">
        <v>126</v>
      </c>
      <c r="D35" s="10">
        <v>100</v>
      </c>
      <c r="E35" s="10">
        <v>20</v>
      </c>
      <c r="F35" s="10" t="s">
        <v>87</v>
      </c>
      <c r="G35" s="10" t="str">
        <f t="shared" si="0"/>
        <v>LOWEST PRICE</v>
      </c>
      <c r="H35" s="11" t="str">
        <f t="shared" si="1"/>
        <v/>
      </c>
      <c r="I35" s="11" t="str">
        <f t="shared" si="2"/>
        <v>atch</v>
      </c>
      <c r="J35" s="11" t="str">
        <f t="shared" si="3"/>
        <v>Watch</v>
      </c>
    </row>
    <row r="36" spans="1:10" ht="15.75" customHeight="1"/>
    <row r="37" spans="1:10" ht="15.75" customHeight="1"/>
    <row r="38" spans="1:10" ht="15.75" customHeight="1"/>
    <row r="39" spans="1:10" ht="15.75" customHeight="1">
      <c r="A39" s="2" t="s">
        <v>0</v>
      </c>
    </row>
    <row r="40" spans="1:10" ht="15.75" customHeight="1"/>
    <row r="41" spans="1:10" ht="15.75" customHeight="1">
      <c r="B41" s="2" t="s">
        <v>1</v>
      </c>
    </row>
    <row r="42" spans="1:10" ht="15.75" customHeight="1">
      <c r="B42" s="2"/>
      <c r="C42" s="2" t="s">
        <v>2</v>
      </c>
      <c r="D42" s="6" t="s">
        <v>127</v>
      </c>
      <c r="E42" s="6">
        <f>SUM(Table1[Price ($)])</f>
        <v>10100</v>
      </c>
    </row>
    <row r="43" spans="1:10" ht="15.75" customHeight="1">
      <c r="B43" s="2"/>
      <c r="C43" s="2" t="s">
        <v>3</v>
      </c>
      <c r="D43" s="5" t="s">
        <v>128</v>
      </c>
      <c r="E43" s="6">
        <f>COUNTA(Table1[Product Name])</f>
        <v>34</v>
      </c>
    </row>
    <row r="44" spans="1:10" ht="15.75" customHeight="1">
      <c r="B44" s="2"/>
      <c r="C44" s="2" t="s">
        <v>4</v>
      </c>
      <c r="D44" s="5" t="s">
        <v>129</v>
      </c>
      <c r="E44" s="7">
        <f>AVERAGE(Table1[Price ($)])</f>
        <v>297.05882352941177</v>
      </c>
    </row>
    <row r="45" spans="1:10" ht="15.75" customHeight="1">
      <c r="B45" s="4"/>
      <c r="C45" s="5"/>
      <c r="E45" s="6"/>
    </row>
    <row r="46" spans="1:10" ht="15.75" customHeight="1">
      <c r="B46" s="2" t="s">
        <v>5</v>
      </c>
      <c r="C46" s="5"/>
      <c r="E46" s="6"/>
    </row>
    <row r="47" spans="1:10" ht="15.75" customHeight="1">
      <c r="C47" s="2" t="s">
        <v>6</v>
      </c>
      <c r="D47" s="5" t="s">
        <v>130</v>
      </c>
      <c r="E47" s="6">
        <f>MIN(Table1[Price ($)])</f>
        <v>30</v>
      </c>
    </row>
    <row r="48" spans="1:10" ht="15.75" customHeight="1">
      <c r="C48" s="2" t="s">
        <v>7</v>
      </c>
      <c r="D48" s="5" t="s">
        <v>131</v>
      </c>
      <c r="E48" s="6">
        <f>MAX(Table1[Price ($)])</f>
        <v>1000</v>
      </c>
    </row>
    <row r="49" spans="2:5" ht="15.75" customHeight="1">
      <c r="B49" s="4"/>
      <c r="C49" s="5"/>
    </row>
    <row r="50" spans="2:5" ht="15.75" customHeight="1">
      <c r="B50" s="2" t="s">
        <v>8</v>
      </c>
      <c r="C50" s="5"/>
    </row>
    <row r="51" spans="2:5" ht="15.75" customHeight="1">
      <c r="C51" s="2" t="s">
        <v>9</v>
      </c>
    </row>
    <row r="52" spans="2:5" ht="15.75" customHeight="1">
      <c r="B52" s="4"/>
      <c r="C52" s="5"/>
    </row>
    <row r="53" spans="2:5" ht="15.75" customHeight="1">
      <c r="B53" s="2" t="s">
        <v>10</v>
      </c>
      <c r="C53" s="5"/>
    </row>
    <row r="54" spans="2:5" ht="15.75" customHeight="1">
      <c r="C54" s="2" t="s">
        <v>11</v>
      </c>
      <c r="D54" s="6"/>
      <c r="E54" s="6"/>
    </row>
    <row r="55" spans="2:5" ht="15.75" customHeight="1">
      <c r="C55" s="2" t="s">
        <v>12</v>
      </c>
      <c r="D55" s="6"/>
      <c r="E55" s="6"/>
    </row>
    <row r="56" spans="2:5" ht="15.75" customHeight="1">
      <c r="B56" s="4"/>
      <c r="C56" s="5"/>
    </row>
    <row r="57" spans="2:5" ht="15.75" customHeight="1">
      <c r="B57" s="2" t="s">
        <v>13</v>
      </c>
      <c r="C57" s="5"/>
    </row>
    <row r="58" spans="2:5" ht="15.75" customHeight="1">
      <c r="C58" s="2" t="s">
        <v>14</v>
      </c>
    </row>
    <row r="59" spans="2:5" ht="15.75" customHeight="1">
      <c r="C59" s="2" t="s">
        <v>15</v>
      </c>
    </row>
    <row r="60" spans="2:5" ht="15.75" customHeight="1">
      <c r="C60" s="2" t="s">
        <v>16</v>
      </c>
    </row>
    <row r="61" spans="2:5" ht="15.75" customHeight="1"/>
    <row r="62" spans="2:5" ht="15.75" customHeight="1"/>
    <row r="63" spans="2:5" ht="15.75" customHeight="1"/>
    <row r="64" spans="2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2025-12-23T14:25:49Z</dcterms:created>
  <dcterms:modified xsi:type="dcterms:W3CDTF">2025-12-24T18:08:39Z</dcterms:modified>
  <cp:category/>
  <cp:contentStatus/>
</cp:coreProperties>
</file>