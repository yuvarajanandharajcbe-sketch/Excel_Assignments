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7440420B-920D-4AE3-B83D-EA1FAB90B57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STRUCTION" sheetId="1" r:id="rId1"/>
    <sheet name="WORKEDDATASET" sheetId="2" r:id="rId2"/>
    <sheet name="CLEANED DATAS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3" i="2" a="1"/>
  <c r="I3" i="2"/>
  <c r="I4" i="2" a="1"/>
  <c r="I4" i="2"/>
  <c r="I5" i="2" a="1"/>
  <c r="I5" i="2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J6" i="2"/>
  <c r="J13" i="2"/>
  <c r="J14" i="2"/>
  <c r="J24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J2" i="2"/>
  <c r="J3" i="2"/>
  <c r="J4" i="2"/>
  <c r="J5" i="2"/>
  <c r="J7" i="2"/>
  <c r="J8" i="2"/>
  <c r="J9" i="2"/>
  <c r="J10" i="2"/>
  <c r="J11" i="2"/>
  <c r="J15" i="2"/>
  <c r="J16" i="2"/>
  <c r="J17" i="2"/>
  <c r="J18" i="2"/>
  <c r="J20" i="2"/>
  <c r="J21" i="2"/>
  <c r="J22" i="2"/>
  <c r="J23" i="2"/>
  <c r="J25" i="2"/>
  <c r="J26" i="2"/>
  <c r="J27" i="2"/>
  <c r="J28" i="2"/>
  <c r="J29" i="2"/>
  <c r="J31" i="2"/>
  <c r="J3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J30" i="2" l="1"/>
  <c r="J19" i="2"/>
  <c r="J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<sst xmlns="http://schemas.openxmlformats.org/spreadsheetml/2006/main" count="379" uniqueCount="198">
  <si>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</si>
  <si>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</si>
  <si>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</si>
  <si>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</si>
  <si>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</si>
  <si>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</si>
  <si>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</si>
  <si>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</si>
  <si>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</si>
  <si>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</si>
  <si>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</si>
  <si>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</si>
  <si>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</si>
  <si>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</si>
  <si>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 </t>
  </si>
  <si>
    <t>• Format the "Manufacturing Date" column to display dates in the "DD-MM-YYYY " format. 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</si>
  <si>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</si>
  <si>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</si>
  <si>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</si>
  <si>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</si>
  <si>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</si>
  <si>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</si>
  <si>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</si>
  <si>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</si>
  <si>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</si>
  <si>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 xml:space="preserve">PRICE CLEANED </t>
  </si>
  <si>
    <t>CONSITENT DATA</t>
  </si>
  <si>
    <t>Column1</t>
  </si>
  <si>
    <t>Category2</t>
  </si>
  <si>
    <t>PRODUCT BRAND</t>
  </si>
  <si>
    <t>MANUFACTURING DATE</t>
  </si>
  <si>
    <t>DATE FORMAT</t>
  </si>
  <si>
    <t>COUNTRY  CODE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</si>
  <si>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</si>
  <si>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</si>
  <si>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</si>
  <si>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</si>
  <si>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</si>
  <si>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</si>
  <si>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</si>
  <si>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</si>
  <si>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</si>
  <si>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</si>
  <si>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</si>
  <si>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</si>
  <si>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</si>
  <si>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</si>
  <si>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</si>
  <si>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</si>
  <si>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</si>
  <si>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</si>
  <si>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</si>
  <si>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</si>
  <si>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</si>
  <si>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</si>
  <si>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</si>
  <si>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</si>
  <si>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</si>
  <si>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</si>
  <si>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</si>
  <si>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</si>
  <si>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</si>
  <si>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</si>
  <si>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</si>
  <si>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</si>
  <si>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</si>
  <si>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</si>
  <si>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</si>
  <si>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</si>
  <si>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</si>
  <si>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</si>
  <si>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</si>
  <si>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</si>
  <si>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</si>
  <si>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</si>
  <si>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</si>
  <si>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</si>
  <si>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</si>
  <si>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</si>
  <si>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</si>
  <si>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</si>
  <si>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</si>
  <si>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</si>
  <si>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</si>
  <si>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</si>
  <si>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</si>
  <si>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</si>
  <si>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</si>
  <si>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</si>
  <si>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</si>
  <si>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</si>
  <si>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</si>
  <si>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</si>
  <si>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</si>
  <si>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</si>
  <si>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</si>
  <si>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</si>
  <si>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</si>
  <si>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</si>
  <si>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</si>
  <si>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</si>
  <si>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</si>
  <si>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</si>
  <si>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</si>
  <si>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</si>
  <si>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</si>
  <si>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</si>
  <si>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</si>
  <si>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</si>
  <si>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</si>
  <si>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</si>
  <si>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</si>
  <si>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</si>
  <si>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</si>
  <si>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</si>
  <si>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</si>
  <si>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</si>
  <si>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</si>
  <si>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</si>
  <si>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</si>
  <si>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</si>
  <si>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</si>
  <si>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</si>
  <si>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</si>
  <si>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$</t>
  </si>
  <si>
    <t>28-01-2026</t>
  </si>
  <si>
    <t>US</t>
  </si>
  <si>
    <t>Laptop-Dell</t>
  </si>
  <si>
    <t>15-02-2026</t>
  </si>
  <si>
    <t>IT</t>
  </si>
  <si>
    <t>Laptop-Asus</t>
  </si>
  <si>
    <t>03-03-2026</t>
  </si>
  <si>
    <t>IN</t>
  </si>
  <si>
    <t>Laptop-Hp</t>
  </si>
  <si>
    <t>11-04-2026</t>
  </si>
  <si>
    <t>Smartphone-Samsung</t>
  </si>
  <si>
    <t>22-05-2026</t>
  </si>
  <si>
    <t>CA</t>
  </si>
  <si>
    <t>Smartphone-Google</t>
  </si>
  <si>
    <t>07-06-2026</t>
  </si>
  <si>
    <t>RU</t>
  </si>
  <si>
    <t>Camera-Nikon</t>
  </si>
  <si>
    <t>19-07-2026</t>
  </si>
  <si>
    <t>UK</t>
  </si>
  <si>
    <t>Tablet-Apple</t>
  </si>
  <si>
    <t>23-08-2026</t>
  </si>
  <si>
    <t>Blender-Vitamix</t>
  </si>
  <si>
    <t>05-09-2026</t>
  </si>
  <si>
    <t>ES</t>
  </si>
  <si>
    <t>Headphones-Bose</t>
  </si>
  <si>
    <t>14-10-2026</t>
  </si>
  <si>
    <t>Headphones-Sony</t>
  </si>
  <si>
    <t>17-06-2026</t>
  </si>
  <si>
    <t>CN</t>
  </si>
  <si>
    <t>Smartwatch-Huawei</t>
  </si>
  <si>
    <t>25-11-2026</t>
  </si>
  <si>
    <t>Smartwatch-Fitbit</t>
  </si>
  <si>
    <t>08-12-2026</t>
  </si>
  <si>
    <t>Sunglasses-Oakley</t>
  </si>
  <si>
    <t>18-02-2026</t>
  </si>
  <si>
    <t>BR</t>
  </si>
  <si>
    <t>Fitness Tracker-Xiaomi</t>
  </si>
  <si>
    <t>16-04-2026</t>
  </si>
  <si>
    <t>Coffee Maker-Keurig</t>
  </si>
  <si>
    <t>21-08-2026</t>
  </si>
  <si>
    <t>Hiking Boots-Timberland</t>
  </si>
  <si>
    <t>20-08-2026</t>
  </si>
  <si>
    <t>Camping Tent-Coleman</t>
  </si>
  <si>
    <t>27-01-2026</t>
  </si>
  <si>
    <t>Fitness Tracker-Garmin</t>
  </si>
  <si>
    <t>01-03-2026</t>
  </si>
  <si>
    <t>DE</t>
  </si>
  <si>
    <t>Coffee Maker-Nespresso</t>
  </si>
  <si>
    <t>14-08-2026</t>
  </si>
  <si>
    <t>FR</t>
  </si>
  <si>
    <t>Watch-Casio</t>
  </si>
  <si>
    <t>14-05-2026</t>
  </si>
  <si>
    <t>Blender-Ninja</t>
  </si>
  <si>
    <t>09-01-2026</t>
  </si>
  <si>
    <t>AU</t>
  </si>
  <si>
    <t>Sneakers-Adidas</t>
  </si>
  <si>
    <t>Sneakers-Nike</t>
  </si>
  <si>
    <t>29-09-2026</t>
  </si>
  <si>
    <t>Microwave-Panasonic</t>
  </si>
  <si>
    <t>03-06-2026</t>
  </si>
  <si>
    <t>Sunglasses-Ray-Ban</t>
  </si>
  <si>
    <t>11-07-2026</t>
  </si>
  <si>
    <t>Backpack-Northface</t>
  </si>
  <si>
    <t>07-03-2026</t>
  </si>
  <si>
    <t>Dress-Zara</t>
  </si>
  <si>
    <t>13-04-2026</t>
  </si>
  <si>
    <t>Laptop Bag-Samsonite</t>
  </si>
  <si>
    <t>24-05-2026</t>
  </si>
  <si>
    <t>Jeans-Levi'S</t>
  </si>
  <si>
    <t>02-12-2026</t>
  </si>
  <si>
    <t>Toaster-Hamilton</t>
  </si>
  <si>
    <t>09-07-2026</t>
  </si>
  <si>
    <t>T-Shirt-Adidas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</si>
</sst>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1"/>
      <name val="Arial"/>
      <charset val="1"/>
    </font>
    <font>
      <sz val="10"/>
      <color theme="1"/>
      <name val="Arial"/>
      <charset val="1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  <font>
      <b/>
      <sz val="10"/>
      <color theme="1"/>
      <name val="Arial"/>
      <charset val="1"/>
    </font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0" xfId="0" applyFont="1" applyAlignment="1">
      <alignment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5" fillId="2" borderId="2" xfId="0" applyFont="1" applyFill="1" applyBorder="1" applyAlignment="1">
      <alignment readingOrder="1"/>
    </xf>
    <xf numFmtId="0" fontId="5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0" fillId="0" borderId="0" xfId="0" applyAlignment="1">
      <alignment wrapText="1"/>
    </xf>
    <xf numFmtId="0" fontId="5" fillId="2" borderId="6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0" fillId="4" borderId="0" xfId="0" applyFill="1"/>
    <xf numFmtId="0" fontId="2" fillId="3" borderId="8" xfId="0" applyFont="1" applyFill="1" applyBorder="1" applyAlignment="1">
      <alignment readingOrder="1"/>
    </xf>
    <xf numFmtId="0" fontId="5" fillId="2" borderId="9" xfId="0" applyFont="1" applyFill="1" applyBorder="1" applyAlignment="1">
      <alignment readingOrder="1"/>
    </xf>
    <xf numFmtId="0" fontId="2" fillId="3" borderId="0" xfId="0" applyFont="1" applyFill="1" applyAlignment="1">
      <alignment readingOrder="1"/>
    </xf>
    <xf numFmtId="0" fontId="5" fillId="2" borderId="9" xfId="0" applyFont="1" applyFill="1" applyBorder="1" applyAlignment="1">
      <alignment wrapText="1" readingOrder="1"/>
    </xf>
    <xf numFmtId="0" fontId="2" fillId="3" borderId="8" xfId="0" applyFont="1" applyFill="1" applyBorder="1" applyAlignment="1">
      <alignment wrapText="1" readingOrder="1"/>
    </xf>
    <xf numFmtId="0" fontId="5" fillId="2" borderId="9" xfId="0" applyFont="1" applyFill="1" applyBorder="1" applyAlignment="1">
      <alignment horizontal="right" wrapText="1" readingOrder="1"/>
    </xf>
    <xf numFmtId="14" fontId="2" fillId="3" borderId="0" xfId="0" applyNumberFormat="1" applyFont="1" applyFill="1" applyAlignment="1">
      <alignment horizontal="right" wrapText="1" readingOrder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6" fillId="0" borderId="0" xfId="0" applyNumberFormat="1" applyFont="1" applyAlignment="1">
      <alignment horizontal="center"/>
    </xf>
  </cellXfs>
  <cellStyles count="1">
    <cellStyle name="Normal" xfId="0" builtinId="0"/>
  </cellStyles>
  <dxfs count="28">
    <dxf>
      <alignment horizontal="center"/>
    </dxf>
    <dxf>
      <alignment horizontal="center"/>
    </dxf>
    <dxf>
      <numFmt numFmtId="164" formatCode="&quot;$&quot;#,##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4DD0E1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18CE0-F78C-4C93-9A5D-6D194A7D988D}" name="Table1" displayName="Table1" ref="A1:N32" totalsRowShown="0" headerRowDxfId="27" dataDxfId="26" tableBorderDxfId="25">
  <autoFilter ref="A1:N32" xr:uid="{ED218CE0-F78C-4C93-9A5D-6D194A7D988D}"/>
  <tableColumns count="14">
    <tableColumn id="1" xr3:uid="{A28F8895-2EBE-4B9C-AEDB-FA3FFAC24F13}" name="Product ID" dataDxfId="24"/>
    <tableColumn id="2" xr3:uid="{0F650101-6EED-478D-B850-671D7F1703FB}" name="Product Name" dataDxfId="23"/>
    <tableColumn id="3" xr3:uid="{B4F13BA1-1026-446A-BDD5-69094C90ABFB}" name="Brand Name" dataDxfId="22"/>
    <tableColumn id="4" xr3:uid="{D340E665-F7A1-4F8C-9183-D1777CE5387F}" name="Price ($)" dataDxfId="21"/>
    <tableColumn id="5" xr3:uid="{17F7E2D2-99E9-4BCB-AC72-FC536766B85B}" name="Quantity" dataDxfId="20"/>
    <tableColumn id="6" xr3:uid="{A3142884-2C02-40A7-A650-E0C95030AFD0}" name="Category" dataDxfId="19"/>
    <tableColumn id="7" xr3:uid="{A646DAD4-ECF0-425E-A64E-46F56A1BB66D}" name="PRICE CLEANED " dataDxfId="18">
      <calculatedColumnFormula>IF(D2="",AVERAGEIF($F:$F,F2,$D:$D),D2)</calculatedColumnFormula>
    </tableColumn>
    <tableColumn id="8" xr3:uid="{D61F88A2-F699-4017-9333-680F0847BE9B}" name="CONSITENT DATA" dataDxfId="17">
      <calculatedColumnFormula>PROPER(TRIM(B2))</calculatedColumnFormula>
    </tableColumn>
    <tableColumn id="9" xr3:uid="{813CB302-A25A-4DDD-82FD-C165BC3567D5}" name="Column1" dataDxfId="16">
      <calculatedColumnFormula array="1">IF(F2="",
_xlfn.SWITCH($B$2,
"Laptop","Electronics",
"smartphone","Electronics",
"Tablet","Electronics",
"Headphones","Electronics",
"Blender","Kitchen",
"Coffee Maker","Kitchen",
"Sneakers","Fashion",
"T-shirt","Fashion",
""),
_xlfn.SWITCH(F2,
"Electroni","Electronics",
"Electronics","Electronics",
"Fashion","Fashion",
"Kitchen","Kitchen",
"Outdoor","Outdoor",
"Accessories","Accessories"))</calculatedColumnFormula>
    </tableColumn>
    <tableColumn id="10" xr3:uid="{02D805DB-D806-44F1-8457-84452758E6DE}" name="Category2" dataDxfId="15">
      <calculatedColumnFormula>PROPER(I2)</calculatedColumnFormula>
    </tableColumn>
    <tableColumn id="11" xr3:uid="{652A2AE7-A445-4BE8-98BE-A3E95F2EBFB5}" name="PRODUCT BRAND" dataDxfId="14">
      <calculatedColumnFormula>PROPER(CONCATENATE(B2,"-",C2))</calculatedColumnFormula>
    </tableColumn>
    <tableColumn id="12" xr3:uid="{D7483E4E-6A4B-4786-8E07-1BC90BC797B6}" name="MANUFACTURING DATE" dataDxfId="13">
      <calculatedColumnFormula>DATE(2026,MONTH(DATEVALUE(MID(A2,4,3)&amp;"1")),LEFT(A2,2))</calculatedColumnFormula>
    </tableColumn>
    <tableColumn id="14" xr3:uid="{F3076F74-DB1E-4227-B5AE-2CFA316C865F}" name="DATE FORMAT" dataDxfId="12">
      <calculatedColumnFormula>TEXT(L2,"DD-MM-YYYY")</calculatedColumnFormula>
    </tableColumn>
    <tableColumn id="13" xr3:uid="{8B16AC3D-27E5-4E5C-BD3B-6F9F243AE8F5}" name="COUNTRY  CODE" dataDxfId="11">
      <calculatedColumnFormula>RIGHT(A2,2)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69210D-5D30-4074-93CE-563EB2CB391B}" name="Table3" displayName="Table3" ref="A1:I32" totalsRowShown="0" dataDxfId="9">
  <autoFilter ref="A1:I32" xr:uid="{DA69210D-5D30-4074-93CE-563EB2CB391B}"/>
  <sortState xmlns:xlrd2="http://schemas.microsoft.com/office/spreadsheetml/2017/richdata2" ref="A2:I32">
    <sortCondition descending="1" ref="G1:G32"/>
  </sortState>
  <tableColumns count="9">
    <tableColumn id="1" xr3:uid="{5335987F-7264-4BDA-A99B-8ADE197ABAAB}" name="Product ID" dataDxfId="8"/>
    <tableColumn id="2" xr3:uid="{31E9204E-8C9C-4A43-8CA5-28083F607597}" name="MANUFACTURING DATE" dataDxfId="7"/>
    <tableColumn id="3" xr3:uid="{4B0049BF-A0CE-43E2-8662-0BD8029D00EE}" name="COUNTRY  CODE" dataDxfId="6"/>
    <tableColumn id="4" xr3:uid="{D0E1719C-FC0A-4755-BE56-72C6C9F999BD}" name="Product Name" dataDxfId="5"/>
    <tableColumn id="5" xr3:uid="{F9E4D5D3-F67E-424E-BB82-DC049BF56A8D}" name="Brand Name" dataDxfId="4"/>
    <tableColumn id="6" xr3:uid="{4A28CE9B-8A32-4BF3-A52E-40B1B086FAB1}" name="PRODUCT BRAND" dataDxfId="3"/>
    <tableColumn id="7" xr3:uid="{6EC65B59-0773-4292-84D8-E31086D325B7}" name="PRICE $" dataDxfId="2"/>
    <tableColumn id="8" xr3:uid="{F8E7500B-7EE3-4CEE-BFBF-492ACA4A2E41}" name="Quantity" dataDxfId="1"/>
    <tableColumn id="9" xr3:uid="{5A616B65-4ED1-4236-A21E-89FC870237FF}" name="Category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3" sqref="A3"/>
    </sheetView>
  </sheetViews>
  <sheetFormatPr defaultRowHeight="15"/>
  <sheetData>
    <row r="1" spans="1:26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>
      <c r="A3" s="3"/>
      <c r="B3" s="4" t="s">
        <v>1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>
      <c r="A4" s="3"/>
      <c r="B4" s="3"/>
      <c r="C4" s="5" t="s">
        <v>2</v>
      </c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>
      <c r="A5" s="3"/>
      <c r="B5" s="3"/>
      <c r="C5" s="5" t="s">
        <v>3</v>
      </c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>
      <c r="A7" s="3"/>
      <c r="B7" s="4" t="s">
        <v>4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>
      <c r="A8" s="3"/>
      <c r="B8" s="3"/>
      <c r="C8" s="5" t="s">
        <v>5</v>
      </c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>
      <c r="A9" s="3"/>
      <c r="B9" s="3"/>
      <c r="C9" s="5" t="s">
        <v>6</v>
      </c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>
      <c r="A10" s="3"/>
      <c r="B10" s="3"/>
      <c r="C10" s="5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>
      <c r="A12" s="3"/>
      <c r="B12" s="4" t="s">
        <v>8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>
      <c r="A13" s="3"/>
      <c r="B13" s="3"/>
      <c r="C13" s="5" t="s">
        <v>9</v>
      </c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>
      <c r="A15" s="3"/>
      <c r="B15" s="4" t="s">
        <v>10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>
      <c r="A16" s="3"/>
      <c r="B16" s="3"/>
      <c r="C16" s="5" t="s">
        <v>11</v>
      </c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>
      <c r="A17" s="3"/>
      <c r="B17" s="3"/>
      <c r="C17" s="5" t="s">
        <v>12</v>
      </c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>
      <c r="A19" s="3"/>
      <c r="B19" s="4" t="s">
        <v>13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>
      <c r="A20" s="3"/>
      <c r="B20" s="3"/>
      <c r="C20" s="5" t="s">
        <v>14</v>
      </c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>
      <c r="A21" s="3"/>
      <c r="B21" s="3"/>
      <c r="C21" s="5" t="s">
        <v>15</v>
      </c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>
      <c r="A23" s="3"/>
      <c r="B23" s="4" t="s">
        <v>16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>
      <c r="A24" s="3"/>
      <c r="B24" s="3"/>
      <c r="C24" s="5" t="s">
        <v>17</v>
      </c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>
      <c r="A25" s="3"/>
      <c r="B25" s="3"/>
      <c r="C25" s="5" t="s">
        <v>18</v>
      </c>
      <c r="D25" s="2"/>
      <c r="E25" s="2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8688-EA2C-4D70-81C8-1E01AB9011DD}">
  <dimension ref="A1:N32"/>
  <sheetViews>
    <sheetView tabSelected="1" workbookViewId="0">
      <selection activeCell="K40" sqref="K40"/>
    </sheetView>
  </sheetViews>
  <sheetFormatPr defaultRowHeight="15"/>
  <cols>
    <col min="1" max="1" width="16.85546875" customWidth="1"/>
    <col min="2" max="2" width="15.7109375" bestFit="1" customWidth="1"/>
    <col min="3" max="3" width="14.140625" bestFit="1" customWidth="1"/>
    <col min="4" max="4" width="14.85546875" customWidth="1"/>
    <col min="5" max="5" width="10.7109375" bestFit="1" customWidth="1"/>
    <col min="6" max="6" width="18.5703125" customWidth="1"/>
    <col min="7" max="7" width="36.5703125" bestFit="1" customWidth="1"/>
    <col min="8" max="8" width="22.5703125" customWidth="1"/>
    <col min="9" max="9" width="15.28515625" customWidth="1"/>
    <col min="10" max="10" width="12" bestFit="1" customWidth="1"/>
    <col min="11" max="11" width="32.7109375" bestFit="1" customWidth="1"/>
    <col min="12" max="13" width="30.140625" customWidth="1"/>
    <col min="14" max="14" width="18.7109375" bestFit="1" customWidth="1"/>
  </cols>
  <sheetData>
    <row r="1" spans="1:14">
      <c r="A1" s="13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24</v>
      </c>
      <c r="G1" s="16" t="s">
        <v>25</v>
      </c>
      <c r="H1" s="18" t="s">
        <v>26</v>
      </c>
      <c r="I1" s="20" t="s">
        <v>27</v>
      </c>
      <c r="J1" s="7" t="s">
        <v>28</v>
      </c>
      <c r="K1" s="18" t="s">
        <v>29</v>
      </c>
      <c r="L1" s="22" t="s">
        <v>30</v>
      </c>
      <c r="M1" s="22" t="s">
        <v>31</v>
      </c>
      <c r="N1" s="18" t="s">
        <v>32</v>
      </c>
    </row>
    <row r="2" spans="1:14">
      <c r="A2" s="14" t="s">
        <v>33</v>
      </c>
      <c r="B2" s="8" t="s">
        <v>34</v>
      </c>
      <c r="C2" s="8" t="s">
        <v>35</v>
      </c>
      <c r="D2" s="8">
        <v>1000</v>
      </c>
      <c r="E2" s="8">
        <v>30</v>
      </c>
      <c r="F2" s="9" t="s">
        <v>36</v>
      </c>
      <c r="G2" s="12">
        <f>IF(D2="",AVERAGEIF($F:$F,F2,$D:$D),D2)</f>
        <v>1000</v>
      </c>
      <c r="H2" s="21" t="str">
        <f>PROPER(TRIM(B2))</f>
        <v>Laptop</v>
      </c>
      <c r="I2" s="19" t="str" cm="1">
        <f t="array" ref="I2">IF(F2="",
_xlfn.SWITCH($B$2,
"Laptop","Electronics",
"smartphone","Electronics",
"Tablet","Electronics",
"Headphones","Electronics",
"Blender","Kitchen",
"Coffee Maker","Kitchen",
"Sneakers","Fashion",
"T-shirt","Fashion",
""),
_xlfn.SWITCH(F2,
"Electroni","Electronics",
"Electronics","Electronics",
"Fashion","Fashion",
"Kitchen","Kitchen",
"Outdoor","Outdoor",
"Accessories","Accessories"))</f>
        <v>Electronics</v>
      </c>
      <c r="J2" s="9" t="str">
        <f>PROPER(I2)</f>
        <v>Electronics</v>
      </c>
      <c r="K2" s="19" t="str">
        <f t="shared" ref="K2:K32" si="0">PROPER(CONCATENATE(B2,"-",C2))</f>
        <v>Laptop-Dell</v>
      </c>
      <c r="L2" s="23">
        <f>DATE(2026,MONTH(DATEVALUE(MID(A2,4,3)&amp;"1")),LEFT(A2,2))</f>
        <v>46050</v>
      </c>
      <c r="M2" s="23" t="str">
        <f t="shared" ref="M2:M32" si="1">TEXT(L2,"DD-MM-YYYY")</f>
        <v>28-01-2026</v>
      </c>
      <c r="N2" s="19" t="str">
        <f>RIGHT(A2,2)</f>
        <v>US</v>
      </c>
    </row>
    <row r="3" spans="1:14">
      <c r="A3" s="15" t="s">
        <v>37</v>
      </c>
      <c r="B3" s="10" t="s">
        <v>38</v>
      </c>
      <c r="C3" s="10" t="s">
        <v>39</v>
      </c>
      <c r="D3" s="10">
        <v>80</v>
      </c>
      <c r="E3" s="10">
        <v>15</v>
      </c>
      <c r="F3" s="11" t="s">
        <v>40</v>
      </c>
      <c r="G3" s="12">
        <f>IF(D3="",AVERAGEIF($F:$F,F3,$D:$D),D3)</f>
        <v>80</v>
      </c>
      <c r="H3" s="21" t="str">
        <f>PROPER(TRIM(B3))</f>
        <v>Sneakers</v>
      </c>
      <c r="I3" s="19" t="str" cm="1">
        <f t="array" ref="I3">IF(F3="",
_xlfn.SWITCH($B$2,
"Laptop","Electronics",
"smartphone","Electronics",
"Tablet","Electronics",
"Headphones","Electronics",
"Blender","Kitchen",
"Coffee Maker","Kitchen",
"Sneakers","Fashion",
"T-shirt","Fashion",
""),
_xlfn.SWITCH(F3,
"Electroni","Electronics",
"Electronics","Electronics",
"Fashion","Fashion",
"Kitchen","Kitchen",
"Outdoor","Outdoor",
"Accessories","Accessories"))</f>
        <v>Fashion</v>
      </c>
      <c r="J3" s="11" t="str">
        <f>PROPER(I3)</f>
        <v>Fashion</v>
      </c>
      <c r="K3" s="19" t="str">
        <f t="shared" si="0"/>
        <v>Sneakers-Nike</v>
      </c>
      <c r="L3" s="23">
        <f>DATE(2026,MONTH(DATEVALUE(MID(A3,4,3)&amp;"1")),LEFT(A3,2))</f>
        <v>46068</v>
      </c>
      <c r="M3" s="23" t="str">
        <f t="shared" si="1"/>
        <v>15-02-2026</v>
      </c>
      <c r="N3" s="19" t="str">
        <f>RIGHT(A3,2)</f>
        <v>US</v>
      </c>
    </row>
    <row r="4" spans="1:14">
      <c r="A4" s="14" t="s">
        <v>41</v>
      </c>
      <c r="B4" s="8" t="s">
        <v>42</v>
      </c>
      <c r="C4" s="8" t="s">
        <v>43</v>
      </c>
      <c r="D4" s="8">
        <v>130</v>
      </c>
      <c r="E4" s="8">
        <v>40</v>
      </c>
      <c r="F4" s="9" t="s">
        <v>44</v>
      </c>
      <c r="G4" s="12">
        <f>IF(D4="",AVERAGEIF($F:$F,F4,$D:$D),D4)</f>
        <v>130</v>
      </c>
      <c r="H4" s="21" t="str">
        <f>PROPER(TRIM(B4))</f>
        <v>Coffee Maker</v>
      </c>
      <c r="I4" s="19" t="str" cm="1">
        <f t="array" ref="I4">IF(F4="",
_xlfn.SWITCH($B$2,
"Laptop","Electronics",
"smartphone","Electronics",
"Tablet","Electronics",
"Headphones","Electronics",
"Blender","Kitchen",
"Coffee Maker","Kitchen",
"Sneakers","Fashion",
"T-shirt","Fashion",
""),
_xlfn.SWITCH(F4,
"Electroni","Electronics",
"Electronics","Electronics",
"Fashion","Fashion",
"Kitchen","Kitchen",
"Outdoor","Outdoor",
"Accessories","Accessories"))</f>
        <v>Kitchen</v>
      </c>
      <c r="J4" s="9" t="str">
        <f>PROPER(I4)</f>
        <v>Kitchen</v>
      </c>
      <c r="K4" s="19" t="str">
        <f t="shared" si="0"/>
        <v>Coffee Maker-Keurig</v>
      </c>
      <c r="L4" s="23">
        <f>DATE(2026,MONTH(DATEVALUE(MID(A4,4,3)&amp;"1")),LEFT(A4,2))</f>
        <v>46084</v>
      </c>
      <c r="M4" s="23" t="str">
        <f t="shared" si="1"/>
        <v>03-03-2026</v>
      </c>
      <c r="N4" s="19" t="str">
        <f>RIGHT(A4,2)</f>
        <v>US</v>
      </c>
    </row>
    <row r="5" spans="1:14">
      <c r="A5" s="15" t="s">
        <v>45</v>
      </c>
      <c r="B5" s="10" t="s">
        <v>46</v>
      </c>
      <c r="C5" s="10" t="s">
        <v>47</v>
      </c>
      <c r="D5" s="10">
        <v>900</v>
      </c>
      <c r="E5" s="10">
        <v>25</v>
      </c>
      <c r="F5" s="11" t="s">
        <v>36</v>
      </c>
      <c r="G5" s="12">
        <f>IF(D5="",AVERAGEIF($F:$F,F5,$D:$D),D5)</f>
        <v>900</v>
      </c>
      <c r="H5" s="21" t="str">
        <f>PROPER(TRIM(B5))</f>
        <v>Smartphone</v>
      </c>
      <c r="I5" s="19" t="str" cm="1">
        <f t="array" ref="I5">IF(F5="",
_xlfn.SWITCH($B$2,
"Laptop","Electronics",
"smartphone","Electronics",
"Tablet","Electronics",
"Headphones","Electronics",
"Blender","Kitchen",
"Coffee Maker","Kitchen",
"Sneakers","Fashion",
"T-shirt","Fashion",
""),
_xlfn.SWITCH(F5,
"Electroni","Electronics",
"Electronics","Electronics",
"Fashion","Fashion",
"Kitchen","Kitchen",
"Outdoor","Outdoor",
"Accessories","Accessories"))</f>
        <v>Electronics</v>
      </c>
      <c r="J5" s="9" t="str">
        <f>PROPER(I5)</f>
        <v>Electronics</v>
      </c>
      <c r="K5" s="19" t="str">
        <f t="shared" si="0"/>
        <v>Smartphone-Samsung</v>
      </c>
      <c r="L5" s="23">
        <f>DATE(2026,MONTH(DATEVALUE(MID(A5,4,3)&amp;"1")),LEFT(A5,2))</f>
        <v>46123</v>
      </c>
      <c r="M5" s="23" t="str">
        <f t="shared" si="1"/>
        <v>11-04-2026</v>
      </c>
      <c r="N5" s="19" t="str">
        <f>RIGHT(A5,2)</f>
        <v>US</v>
      </c>
    </row>
    <row r="6" spans="1:14">
      <c r="A6" s="14" t="s">
        <v>48</v>
      </c>
      <c r="B6" s="8" t="s">
        <v>49</v>
      </c>
      <c r="C6" s="8" t="s">
        <v>50</v>
      </c>
      <c r="D6" s="8">
        <v>70</v>
      </c>
      <c r="E6" s="8">
        <v>20</v>
      </c>
      <c r="F6" s="9"/>
      <c r="G6" s="12">
        <f>IF(D6="",AVERAGEIF($F:$F,F6,$D:$D),D6)</f>
        <v>70</v>
      </c>
      <c r="H6" s="17" t="str">
        <f>PROPER(TRIM(B6))</f>
        <v>Backpack</v>
      </c>
      <c r="I6" s="19" t="str" cm="1">
        <f t="array" ref="I6">IF(F6="",
_xlfn.SWITCH($B$2,
"Laptop","Electronics",
"smartphone","Electronics",
"Tablet","Electronics",
"Headphones","Electronics",
"Blender","Kitchen",
"Coffee Maker","Kitchen",
"Sneakers","Fashion",
"T-shirt","Fashion",
""),
_xlfn.SWITCH(F6,
"Electroni","Electronics",
"Electronics","Electronics",
"Fashion","Fashion",
"Kitchen","Kitchen",
"Outdoor","Outdoor",
"Accessories","Accessories"))</f>
        <v>Electronics</v>
      </c>
      <c r="J6" s="9" t="str">
        <f>PROPER(I6)</f>
        <v>Electronics</v>
      </c>
      <c r="K6" s="19" t="str">
        <f t="shared" si="0"/>
        <v>Backpack-Northface</v>
      </c>
      <c r="L6" s="23">
        <f>DATE(2026,MONTH(DATEVALUE(MID(A6,4,3)&amp;"1")),LEFT(A6,2))</f>
        <v>46164</v>
      </c>
      <c r="M6" s="23" t="str">
        <f t="shared" si="1"/>
        <v>22-05-2026</v>
      </c>
      <c r="N6" s="19" t="str">
        <f>RIGHT(A6,2)</f>
        <v>US</v>
      </c>
    </row>
    <row r="7" spans="1:14">
      <c r="A7" s="15" t="s">
        <v>51</v>
      </c>
      <c r="B7" s="10" t="s">
        <v>52</v>
      </c>
      <c r="C7" s="10" t="s">
        <v>53</v>
      </c>
      <c r="D7" s="10"/>
      <c r="E7" s="10">
        <v>45</v>
      </c>
      <c r="F7" s="11" t="s">
        <v>54</v>
      </c>
      <c r="G7" s="12">
        <f>IF(D7="",AVERAGEIF($F:$F,F7,$D:$D),D7)</f>
        <v>186.66666666666666</v>
      </c>
      <c r="H7" s="17" t="str">
        <f>PROPER(TRIM(B7))</f>
        <v>Headphones</v>
      </c>
      <c r="I7" s="19" t="str" cm="1">
        <f t="array" ref="I7">IF(F7="",
_xlfn.SWITCH($B$2,
"Laptop","Electronics",
"smartphone","Electronics",
"Tablet","Electronics",
"Headphones","Electronics",
"Blender","Kitchen",
"Coffee Maker","Kitchen",
"Sneakers","Fashion",
"T-shirt","Fashion",
""),
_xlfn.SWITCH(F7,
"Electroni","Electronics",
"Electronics","Electronics",
"Fashion","Fashion",
"Kitchen","Kitchen",
"Outdoor","Outdoor",
"Accessories","Accessories"))</f>
        <v>Electronics</v>
      </c>
      <c r="J7" s="9" t="str">
        <f>PROPER(I7)</f>
        <v>Electronics</v>
      </c>
      <c r="K7" s="19" t="str">
        <f t="shared" si="0"/>
        <v>Headphones-Sony</v>
      </c>
      <c r="L7" s="23">
        <f>DATE(2026,MONTH(DATEVALUE(MID(A7,4,3)&amp;"1")),LEFT(A7,2))</f>
        <v>46180</v>
      </c>
      <c r="M7" s="23" t="str">
        <f t="shared" si="1"/>
        <v>07-06-2026</v>
      </c>
      <c r="N7" s="19" t="str">
        <f>RIGHT(A7,2)</f>
        <v>UK</v>
      </c>
    </row>
    <row r="8" spans="1:14">
      <c r="A8" s="14" t="s">
        <v>55</v>
      </c>
      <c r="B8" s="8" t="s">
        <v>56</v>
      </c>
      <c r="C8" s="8" t="s">
        <v>57</v>
      </c>
      <c r="D8" s="8">
        <v>30</v>
      </c>
      <c r="E8" s="8">
        <v>5</v>
      </c>
      <c r="F8" s="9" t="s">
        <v>40</v>
      </c>
      <c r="G8" s="12">
        <f>IF(D8="",AVERAGEIF($F:$F,F8,$D:$D),D8)</f>
        <v>30</v>
      </c>
      <c r="H8" s="17" t="str">
        <f>PROPER(TRIM(B8))</f>
        <v>T-Shirt</v>
      </c>
      <c r="I8" s="19" t="str" cm="1">
        <f t="array" ref="I8">IF(F8="",
_xlfn.SWITCH($B$2,
"Laptop","Electronics",
"smartphone","Electronics",
"Tablet","Electronics",
"Headphones","Electronics",
"Blender","Kitchen",
"Coffee Maker","Kitchen",
"Sneakers","Fashion",
"T-shirt","Fashion",
""),
_xlfn.SWITCH(F8,
"Electroni","Electronics",
"Electronics","Electronics",
"Fashion","Fashion",
"Kitchen","Kitchen",
"Outdoor","Outdoor",
"Accessories","Accessories"))</f>
        <v>Fashion</v>
      </c>
      <c r="J8" s="9" t="str">
        <f>PROPER(I8)</f>
        <v>Fashion</v>
      </c>
      <c r="K8" s="19" t="str">
        <f t="shared" si="0"/>
        <v>T-Shirt-Adidas</v>
      </c>
      <c r="L8" s="23">
        <f>DATE(2026,MONTH(DATEVALUE(MID(A8,4,3)&amp;"1")),LEFT(A8,2))</f>
        <v>46222</v>
      </c>
      <c r="M8" s="23" t="str">
        <f t="shared" si="1"/>
        <v>19-07-2026</v>
      </c>
      <c r="N8" s="19" t="str">
        <f>RIGHT(A8,2)</f>
        <v>UK</v>
      </c>
    </row>
    <row r="9" spans="1:14">
      <c r="A9" s="15" t="s">
        <v>58</v>
      </c>
      <c r="B9" s="10" t="s">
        <v>59</v>
      </c>
      <c r="C9" s="10" t="s">
        <v>60</v>
      </c>
      <c r="D9" s="10">
        <v>90</v>
      </c>
      <c r="E9" s="10">
        <v>35</v>
      </c>
      <c r="F9" s="11" t="s">
        <v>44</v>
      </c>
      <c r="G9" s="12">
        <f>IF(D9="",AVERAGEIF($F:$F,F9,$D:$D),D9)</f>
        <v>90</v>
      </c>
      <c r="H9" s="17" t="str">
        <f>PROPER(TRIM(B9))</f>
        <v>Blender</v>
      </c>
      <c r="I9" s="19" t="str" cm="1">
        <f t="array" ref="I9">IF(F9="",
_xlfn.SWITCH($B$2,
"Laptop","Electronics",
"smartphone","Electronics",
"Tablet","Electronics",
"Headphones","Electronics",
"Blender","Kitchen",
"Coffee Maker","Kitchen",
"Sneakers","Fashion",
"T-shirt","Fashion",
""),
_xlfn.SWITCH(F9,
"Electroni","Electronics",
"Electronics","Electronics",
"Fashion","Fashion",
"Kitchen","Kitchen",
"Outdoor","Outdoor",
"Accessories","Accessories"))</f>
        <v>Kitchen</v>
      </c>
      <c r="J9" s="11" t="str">
        <f>PROPER(I9)</f>
        <v>Kitchen</v>
      </c>
      <c r="K9" s="19" t="str">
        <f t="shared" si="0"/>
        <v>Blender-Ninja</v>
      </c>
      <c r="L9" s="23">
        <f>DATE(2026,MONTH(DATEVALUE(MID(A9,4,3)&amp;"1")),LEFT(A9,2))</f>
        <v>46257</v>
      </c>
      <c r="M9" s="23" t="str">
        <f t="shared" si="1"/>
        <v>23-08-2026</v>
      </c>
      <c r="N9" s="19" t="str">
        <f>RIGHT(A9,2)</f>
        <v>UK</v>
      </c>
    </row>
    <row r="10" spans="1:14">
      <c r="A10" s="14" t="s">
        <v>61</v>
      </c>
      <c r="B10" s="8" t="s">
        <v>62</v>
      </c>
      <c r="C10" s="8" t="s">
        <v>63</v>
      </c>
      <c r="D10" s="8">
        <v>500</v>
      </c>
      <c r="E10" s="8">
        <v>50</v>
      </c>
      <c r="F10" s="19" t="s">
        <v>36</v>
      </c>
      <c r="G10" s="12">
        <f>IF(D10="",AVERAGEIF($F:$F,F10,$D:$D),D10)</f>
        <v>500</v>
      </c>
      <c r="H10" s="17" t="str">
        <f>PROPER(TRIM(B10))</f>
        <v>Tablet</v>
      </c>
      <c r="I10" s="19" t="str" cm="1">
        <f t="array" ref="I10">IF(F10="",
_xlfn.SWITCH($B$2,
"Laptop","Electronics",
"smartphone","Electronics",
"Tablet","Electronics",
"Headphones","Electronics",
"Blender","Kitchen",
"Coffee Maker","Kitchen",
"Sneakers","Fashion",
"T-shirt","Fashion",
""),
_xlfn.SWITCH(F10,
"Electroni","Electronics",
"Electronics","Electronics",
"Fashion","Fashion",
"Kitchen","Kitchen",
"Outdoor","Outdoor",
"Accessories","Accessories"))</f>
        <v>Electronics</v>
      </c>
      <c r="J10" s="3" t="str">
        <f>PROPER(I10)</f>
        <v>Electronics</v>
      </c>
      <c r="K10" s="19" t="str">
        <f t="shared" si="0"/>
        <v>Tablet-Apple</v>
      </c>
      <c r="L10" s="23">
        <f>DATE(2026,MONTH(DATEVALUE(MID(A10,4,3)&amp;"1")),LEFT(A10,2))</f>
        <v>46270</v>
      </c>
      <c r="M10" s="23" t="str">
        <f t="shared" si="1"/>
        <v>05-09-2026</v>
      </c>
      <c r="N10" s="19" t="str">
        <f>RIGHT(A10,2)</f>
        <v>UK</v>
      </c>
    </row>
    <row r="11" spans="1:14">
      <c r="A11" s="15" t="s">
        <v>64</v>
      </c>
      <c r="B11" s="10" t="s">
        <v>65</v>
      </c>
      <c r="C11" s="10" t="s">
        <v>66</v>
      </c>
      <c r="D11" s="10">
        <v>130</v>
      </c>
      <c r="E11" s="10">
        <v>10</v>
      </c>
      <c r="F11" s="11" t="s">
        <v>67</v>
      </c>
      <c r="G11" s="12">
        <f>IF(D11="",AVERAGEIF($F:$F,F11,$D:$D),D11)</f>
        <v>130</v>
      </c>
      <c r="H11" s="17" t="str">
        <f>PROPER(TRIM(B11))</f>
        <v>Hiking Boots</v>
      </c>
      <c r="I11" s="19" t="str" cm="1">
        <f t="array" ref="I11">IF(F11="",
_xlfn.SWITCH($B$2,
"Laptop","Electronics",
"smartphone","Electronics",
"Tablet","Electronics",
"Headphones","Electronics",
"Blender","Kitchen",
"Coffee Maker","Kitchen",
"Sneakers","Fashion",
"T-shirt","Fashion",
""),
_xlfn.SWITCH(F11,
"Electroni","Electronics",
"Electronics","Electronics",
"Fashion","Fashion",
"Kitchen","Kitchen",
"Outdoor","Outdoor",
"Accessories","Accessories"))</f>
        <v>Outdoor</v>
      </c>
      <c r="J11" s="3" t="str">
        <f>PROPER(I11)</f>
        <v>Outdoor</v>
      </c>
      <c r="K11" s="19" t="str">
        <f t="shared" si="0"/>
        <v>Hiking Boots-Timberland</v>
      </c>
      <c r="L11" s="23">
        <f>DATE(2026,MONTH(DATEVALUE(MID(A11,4,3)&amp;"1")),LEFT(A11,2))</f>
        <v>46309</v>
      </c>
      <c r="M11" s="23" t="str">
        <f t="shared" si="1"/>
        <v>14-10-2026</v>
      </c>
      <c r="N11" s="19" t="str">
        <f>RIGHT(A11,2)</f>
        <v>UK</v>
      </c>
    </row>
    <row r="12" spans="1:14">
      <c r="A12" s="14" t="s">
        <v>68</v>
      </c>
      <c r="B12" s="8" t="s">
        <v>69</v>
      </c>
      <c r="C12" s="8" t="s">
        <v>70</v>
      </c>
      <c r="D12" s="8">
        <v>950</v>
      </c>
      <c r="E12" s="8">
        <v>25</v>
      </c>
      <c r="F12" s="9" t="s">
        <v>36</v>
      </c>
      <c r="G12" s="12">
        <f>IF(D12="",AVERAGEIF($F:$F,F12,$D:$D),D12)</f>
        <v>950</v>
      </c>
      <c r="H12" s="17" t="str">
        <f>PROPER(TRIM(B12))</f>
        <v>Laptop</v>
      </c>
      <c r="I12" s="19" t="str" cm="1">
        <f t="array" ref="I12">IF(F12="",
_xlfn.SWITCH($B$2,
"Laptop","Electronics",
"smartphone","Electronics",
"Tablet","Electronics",
"Headphones","Electronics",
"Blender","Kitchen",
"Coffee Maker","Kitchen",
"Sneakers","Fashion",
"T-shirt","Fashion",
""),
_xlfn.SWITCH(F12,
"Electroni","Electronics",
"Electronics","Electronics",
"Fashion","Fashion",
"Kitchen","Kitchen",
"Outdoor","Outdoor",
"Accessories","Accessories"))</f>
        <v>Electronics</v>
      </c>
      <c r="J12" s="9" t="str">
        <f>PROPER(I12)</f>
        <v>Electronics</v>
      </c>
      <c r="K12" s="19" t="str">
        <f t="shared" si="0"/>
        <v>Laptop-Hp</v>
      </c>
      <c r="L12" s="23">
        <f>DATE(2026,MONTH(DATEVALUE(MID(A12,4,3)&amp;"1")),LEFT(A12,2))</f>
        <v>46190</v>
      </c>
      <c r="M12" s="23" t="str">
        <f t="shared" si="1"/>
        <v>17-06-2026</v>
      </c>
      <c r="N12" s="19" t="str">
        <f>RIGHT(A12,2)</f>
        <v>IN</v>
      </c>
    </row>
    <row r="13" spans="1:14">
      <c r="A13" s="15" t="s">
        <v>71</v>
      </c>
      <c r="B13" s="10" t="s">
        <v>38</v>
      </c>
      <c r="C13" s="10" t="s">
        <v>57</v>
      </c>
      <c r="D13" s="10">
        <v>90</v>
      </c>
      <c r="E13" s="10">
        <v>40</v>
      </c>
      <c r="F13" s="9"/>
      <c r="G13" s="12">
        <f>IF(D13="",AVERAGEIF($F:$F,F13,$D:$D),D13)</f>
        <v>90</v>
      </c>
      <c r="H13" s="17" t="str">
        <f>PROPER(TRIM(B13))</f>
        <v>Sneakers</v>
      </c>
      <c r="I13" s="19" t="str" cm="1">
        <f t="array" ref="I13">IF(F13="",
_xlfn.SWITCH($B$2,
"Laptop","Electronics",
"smartphone","Electronics",
"Tablet","Electronics",
"Headphones","Electronics",
"Blender","Kitchen",
"Coffee Maker","Kitchen",
"Sneakers","Fashion",
"T-shirt","Fashion",
""),
_xlfn.SWITCH(F13,
"Electroni","Electronics",
"Electronics","Electronics",
"Fashion","Fashion",
"Kitchen","Kitchen",
"Outdoor","Outdoor",
"Accessories","Accessories"))</f>
        <v>Electronics</v>
      </c>
      <c r="J13" s="11" t="str">
        <f>PROPER(I13)</f>
        <v>Electronics</v>
      </c>
      <c r="K13" s="19" t="str">
        <f t="shared" si="0"/>
        <v>Sneakers-Adidas</v>
      </c>
      <c r="L13" s="23">
        <f>DATE(2026,MONTH(DATEVALUE(MID(A13,4,3)&amp;"1")),LEFT(A13,2))</f>
        <v>46351</v>
      </c>
      <c r="M13" s="23" t="str">
        <f t="shared" si="1"/>
        <v>25-11-2026</v>
      </c>
      <c r="N13" s="19" t="str">
        <f>RIGHT(A13,2)</f>
        <v>AU</v>
      </c>
    </row>
    <row r="14" spans="1:14">
      <c r="A14" s="14" t="s">
        <v>72</v>
      </c>
      <c r="B14" s="8" t="s">
        <v>42</v>
      </c>
      <c r="C14" s="8" t="s">
        <v>73</v>
      </c>
      <c r="D14" s="8">
        <v>120</v>
      </c>
      <c r="E14" s="8">
        <v>35</v>
      </c>
      <c r="F14" s="9"/>
      <c r="G14" s="12">
        <f>IF(D14="",AVERAGEIF($F:$F,F14,$D:$D),D14)</f>
        <v>120</v>
      </c>
      <c r="H14" s="17" t="str">
        <f>PROPER(TRIM(B14))</f>
        <v>Coffee Maker</v>
      </c>
      <c r="I14" s="19" t="str" cm="1">
        <f t="array" ref="I14">IF(F14="",
_xlfn.SWITCH($B$2,
"Laptop","Electronics",
"smartphone","Electronics",
"Tablet","Electronics",
"Headphones","Electronics",
"Blender","Kitchen",
"Coffee Maker","Kitchen",
"Sneakers","Fashion",
"T-shirt","Fashion",
""),
_xlfn.SWITCH(F14,
"Electroni","Electronics",
"Electronics","Electronics",
"Fashion","Fashion",
"Kitchen","Kitchen",
"Outdoor","Outdoor",
"Accessories","Accessories"))</f>
        <v>Electronics</v>
      </c>
      <c r="J14" s="11" t="str">
        <f>PROPER(I14)</f>
        <v>Electronics</v>
      </c>
      <c r="K14" s="19" t="str">
        <f t="shared" si="0"/>
        <v>Coffee Maker-Nespresso</v>
      </c>
      <c r="L14" s="23">
        <f>DATE(2026,MONTH(DATEVALUE(MID(A14,4,3)&amp;"1")),LEFT(A14,2))</f>
        <v>46364</v>
      </c>
      <c r="M14" s="23" t="str">
        <f t="shared" si="1"/>
        <v>08-12-2026</v>
      </c>
      <c r="N14" s="19" t="str">
        <f>RIGHT(A14,2)</f>
        <v>DE</v>
      </c>
    </row>
    <row r="15" spans="1:14">
      <c r="A15" s="15" t="s">
        <v>74</v>
      </c>
      <c r="B15" s="10" t="s">
        <v>75</v>
      </c>
      <c r="C15" s="10" t="s">
        <v>76</v>
      </c>
      <c r="D15" s="10">
        <v>150</v>
      </c>
      <c r="E15" s="10">
        <v>15</v>
      </c>
      <c r="F15" s="11" t="s">
        <v>54</v>
      </c>
      <c r="G15" s="12">
        <f>IF(D15="",AVERAGEIF($F:$F,F15,$D:$D),D15)</f>
        <v>150</v>
      </c>
      <c r="H15" s="17" t="str">
        <f>PROPER(TRIM(B15))</f>
        <v>Smartwatch</v>
      </c>
      <c r="I15" s="19" t="str" cm="1">
        <f t="array" ref="I15">IF(F15="",
_xlfn.SWITCH($B$2,
"Laptop","Electronics",
"smartphone","Electronics",
"Tablet","Electronics",
"Headphones","Electronics",
"Blender","Kitchen",
"Coffee Maker","Kitchen",
"Sneakers","Fashion",
"T-shirt","Fashion",
""),
_xlfn.SWITCH(F15,
"Electroni","Electronics",
"Electronics","Electronics",
"Fashion","Fashion",
"Kitchen","Kitchen",
"Outdoor","Outdoor",
"Accessories","Accessories"))</f>
        <v>Electronics</v>
      </c>
      <c r="J15" s="9" t="str">
        <f>PROPER(I15)</f>
        <v>Electronics</v>
      </c>
      <c r="K15" s="19" t="str">
        <f t="shared" si="0"/>
        <v>Smartwatch-Fitbit</v>
      </c>
      <c r="L15" s="23">
        <f>DATE(2026,MONTH(DATEVALUE(MID(A15,4,3)&amp;"1")),LEFT(A15,2))</f>
        <v>46071</v>
      </c>
      <c r="M15" s="23" t="str">
        <f t="shared" si="1"/>
        <v>18-02-2026</v>
      </c>
      <c r="N15" s="19" t="str">
        <f>RIGHT(A15,2)</f>
        <v>CA</v>
      </c>
    </row>
    <row r="16" spans="1:14">
      <c r="A16" s="14" t="s">
        <v>77</v>
      </c>
      <c r="B16" s="8" t="s">
        <v>78</v>
      </c>
      <c r="C16" s="8" t="s">
        <v>79</v>
      </c>
      <c r="D16" s="8">
        <v>250</v>
      </c>
      <c r="E16" s="8">
        <v>20</v>
      </c>
      <c r="F16" s="9" t="s">
        <v>54</v>
      </c>
      <c r="G16" s="12">
        <f>IF(D16="",AVERAGEIF($F:$F,F16,$D:$D),D16)</f>
        <v>250</v>
      </c>
      <c r="H16" s="17" t="str">
        <f>PROPER(TRIM(B16))</f>
        <v>Headphones</v>
      </c>
      <c r="I16" s="19" t="str" cm="1">
        <f t="array" ref="I16">IF(F16="",
_xlfn.SWITCH($B$2,
"Laptop","Electronics",
"smartphone","Electronics",
"Tablet","Electronics",
"Headphones","Electronics",
"Blender","Kitchen",
"Coffee Maker","Kitchen",
"Sneakers","Fashion",
"T-shirt","Fashion",
""),
_xlfn.SWITCH(F16,
"Electroni","Electronics",
"Electronics","Electronics",
"Fashion","Fashion",
"Kitchen","Kitchen",
"Outdoor","Outdoor",
"Accessories","Accessories"))</f>
        <v>Electronics</v>
      </c>
      <c r="J16" s="9" t="str">
        <f>PROPER(I16)</f>
        <v>Electronics</v>
      </c>
      <c r="K16" s="19" t="str">
        <f t="shared" si="0"/>
        <v>Headphones-Bose</v>
      </c>
      <c r="L16" s="23">
        <f>DATE(2026,MONTH(DATEVALUE(MID(A16,4,3)&amp;"1")),LEFT(A16,2))</f>
        <v>46128</v>
      </c>
      <c r="M16" s="23" t="str">
        <f t="shared" si="1"/>
        <v>16-04-2026</v>
      </c>
      <c r="N16" s="19" t="str">
        <f>RIGHT(A16,2)</f>
        <v>ES</v>
      </c>
    </row>
    <row r="17" spans="1:14">
      <c r="A17" s="15" t="s">
        <v>80</v>
      </c>
      <c r="B17" s="10" t="s">
        <v>81</v>
      </c>
      <c r="C17" s="10" t="s">
        <v>82</v>
      </c>
      <c r="D17" s="10">
        <v>50</v>
      </c>
      <c r="E17" s="10">
        <v>35</v>
      </c>
      <c r="F17" s="11" t="s">
        <v>83</v>
      </c>
      <c r="G17" s="12">
        <f>IF(D17="",AVERAGEIF($F:$F,F17,$D:$D),D17)</f>
        <v>50</v>
      </c>
      <c r="H17" s="17" t="str">
        <f>PROPER(TRIM(B17))</f>
        <v>Laptop Bag</v>
      </c>
      <c r="I17" s="19" t="str" cm="1">
        <f t="array" ref="I17">IF(F17="",
_xlfn.SWITCH($B$2,
"Laptop","Electronics",
"smartphone","Electronics",
"Tablet","Electronics",
"Headphones","Electronics",
"Blender","Kitchen",
"Coffee Maker","Kitchen",
"Sneakers","Fashion",
"T-shirt","Fashion",
""),
_xlfn.SWITCH(F17,
"Electroni","Electronics",
"Electronics","Electronics",
"Fashion","Fashion",
"Kitchen","Kitchen",
"Outdoor","Outdoor",
"Accessories","Accessories"))</f>
        <v>Accessories</v>
      </c>
      <c r="J17" s="3" t="str">
        <f>PROPER(I17)</f>
        <v>Accessories</v>
      </c>
      <c r="K17" s="19" t="str">
        <f t="shared" si="0"/>
        <v>Laptop Bag-Samsonite</v>
      </c>
      <c r="L17" s="23">
        <f>DATE(2026,MONTH(DATEVALUE(MID(A17,4,3)&amp;"1")),LEFT(A17,2))</f>
        <v>46255</v>
      </c>
      <c r="M17" s="23" t="str">
        <f t="shared" si="1"/>
        <v>21-08-2026</v>
      </c>
      <c r="N17" s="19" t="str">
        <f>RIGHT(A17,2)</f>
        <v>CA</v>
      </c>
    </row>
    <row r="18" spans="1:14">
      <c r="A18" s="14" t="s">
        <v>84</v>
      </c>
      <c r="B18" s="8" t="s">
        <v>75</v>
      </c>
      <c r="C18" s="8" t="s">
        <v>85</v>
      </c>
      <c r="D18" s="8">
        <v>160</v>
      </c>
      <c r="E18" s="8">
        <v>15</v>
      </c>
      <c r="F18" s="9" t="s">
        <v>54</v>
      </c>
      <c r="G18" s="12">
        <f>IF(D18="",AVERAGEIF($F:$F,F18,$D:$D),D18)</f>
        <v>160</v>
      </c>
      <c r="H18" s="17" t="str">
        <f>PROPER(TRIM(B18))</f>
        <v>Smartwatch</v>
      </c>
      <c r="I18" s="19" t="str" cm="1">
        <f t="array" ref="I18">IF(F18="",
_xlfn.SWITCH($B$2,
"Laptop","Electronics",
"smartphone","Electronics",
"Tablet","Electronics",
"Headphones","Electronics",
"Blender","Kitchen",
"Coffee Maker","Kitchen",
"Sneakers","Fashion",
"T-shirt","Fashion",
""),
_xlfn.SWITCH(F18,
"Electroni","Electronics",
"Electronics","Electronics",
"Fashion","Fashion",
"Kitchen","Kitchen",
"Outdoor","Outdoor",
"Accessories","Accessories"))</f>
        <v>Electronics</v>
      </c>
      <c r="J18" s="9" t="str">
        <f>PROPER(I18)</f>
        <v>Electronics</v>
      </c>
      <c r="K18" s="19" t="str">
        <f t="shared" si="0"/>
        <v>Smartwatch-Huawei</v>
      </c>
      <c r="L18" s="23">
        <f>DATE(2026,MONTH(DATEVALUE(MID(A18,4,3)&amp;"1")),LEFT(A18,2))</f>
        <v>46254</v>
      </c>
      <c r="M18" s="23" t="str">
        <f t="shared" si="1"/>
        <v>20-08-2026</v>
      </c>
      <c r="N18" s="19" t="str">
        <f>RIGHT(A18,2)</f>
        <v>CN</v>
      </c>
    </row>
    <row r="19" spans="1:14">
      <c r="A19" s="15" t="s">
        <v>86</v>
      </c>
      <c r="B19" s="10" t="s">
        <v>34</v>
      </c>
      <c r="C19" s="10" t="s">
        <v>87</v>
      </c>
      <c r="D19" s="10">
        <v>980</v>
      </c>
      <c r="E19" s="10">
        <v>10</v>
      </c>
      <c r="F19" s="11" t="s">
        <v>36</v>
      </c>
      <c r="G19" s="12">
        <f>IF(D19="",AVERAGEIF($F:$F,F19,$D:$D),D19)</f>
        <v>980</v>
      </c>
      <c r="H19" s="17" t="str">
        <f>PROPER(TRIM(B19))</f>
        <v>Laptop</v>
      </c>
      <c r="I19" s="19" t="str" cm="1">
        <f t="array" ref="I19">IF(F19="",
_xlfn.SWITCH($B$2,
"Laptop","Electronics",
"smartphone","Electronics",
"Tablet","Electronics",
"Headphones","Electronics",
"Blender","Kitchen",
"Coffee Maker","Kitchen",
"Sneakers","Fashion",
"T-shirt","Fashion",
""),
_xlfn.SWITCH(F19,
"Electroni","Electronics",
"Electronics","Electronics",
"Fashion","Fashion",
"Kitchen","Kitchen",
"Outdoor","Outdoor",
"Accessories","Accessories"))</f>
        <v>Electronics</v>
      </c>
      <c r="J19" s="9" t="str">
        <f>PROPER(I19)</f>
        <v>Electronics</v>
      </c>
      <c r="K19" s="19" t="str">
        <f t="shared" si="0"/>
        <v>Laptop-Asus</v>
      </c>
      <c r="L19" s="23">
        <f>DATE(2026,MONTH(DATEVALUE(MID(A19,4,3)&amp;"1")),LEFT(A19,2))</f>
        <v>46049</v>
      </c>
      <c r="M19" s="23" t="str">
        <f t="shared" si="1"/>
        <v>27-01-2026</v>
      </c>
      <c r="N19" s="19" t="str">
        <f>RIGHT(A19,2)</f>
        <v>IT</v>
      </c>
    </row>
    <row r="20" spans="1:14">
      <c r="A20" s="14" t="s">
        <v>88</v>
      </c>
      <c r="B20" s="8" t="s">
        <v>89</v>
      </c>
      <c r="C20" s="8" t="s">
        <v>90</v>
      </c>
      <c r="D20" s="8">
        <v>150</v>
      </c>
      <c r="E20" s="8">
        <v>15</v>
      </c>
      <c r="F20" s="9" t="s">
        <v>40</v>
      </c>
      <c r="G20" s="12">
        <f>IF(D20="",AVERAGEIF($F:$F,F20,$D:$D),D20)</f>
        <v>150</v>
      </c>
      <c r="H20" s="17" t="str">
        <f>PROPER(TRIM(B20))</f>
        <v>Sunglasses</v>
      </c>
      <c r="I20" s="19" t="str" cm="1">
        <f t="array" ref="I20">IF(F20="",
_xlfn.SWITCH($B$2,
"Laptop","Electronics",
"smartphone","Electronics",
"Tablet","Electronics",
"Headphones","Electronics",
"Blender","Kitchen",
"Coffee Maker","Kitchen",
"Sneakers","Fashion",
"T-shirt","Fashion",
""),
_xlfn.SWITCH(F20,
"Electroni","Electronics",
"Electronics","Electronics",
"Fashion","Fashion",
"Kitchen","Kitchen",
"Outdoor","Outdoor",
"Accessories","Accessories"))</f>
        <v>Fashion</v>
      </c>
      <c r="J20" s="9" t="str">
        <f>PROPER(I20)</f>
        <v>Fashion</v>
      </c>
      <c r="K20" s="19" t="str">
        <f t="shared" si="0"/>
        <v>Sunglasses-Oakley</v>
      </c>
      <c r="L20" s="23">
        <f>DATE(2026,MONTH(DATEVALUE(MID(A20,4,3)&amp;"1")),LEFT(A20,2))</f>
        <v>46082</v>
      </c>
      <c r="M20" s="23" t="str">
        <f t="shared" si="1"/>
        <v>01-03-2026</v>
      </c>
      <c r="N20" s="19" t="str">
        <f>RIGHT(A20,2)</f>
        <v>UK</v>
      </c>
    </row>
    <row r="21" spans="1:14">
      <c r="A21" s="15" t="s">
        <v>91</v>
      </c>
      <c r="B21" s="10" t="s">
        <v>92</v>
      </c>
      <c r="C21" s="10" t="s">
        <v>93</v>
      </c>
      <c r="D21" s="10"/>
      <c r="E21" s="10">
        <v>10</v>
      </c>
      <c r="F21" s="11" t="s">
        <v>67</v>
      </c>
      <c r="G21" s="12">
        <f>IF(D21="",AVERAGEIF($F:$F,F21,$D:$D),D21)</f>
        <v>130</v>
      </c>
      <c r="H21" s="17" t="str">
        <f>PROPER(TRIM(B21))</f>
        <v>Camping Tent</v>
      </c>
      <c r="I21" s="19" t="str" cm="1">
        <f t="array" ref="I21">IF(F21="",
_xlfn.SWITCH($B$2,
"Laptop","Electronics",
"smartphone","Electronics",
"Tablet","Electronics",
"Headphones","Electronics",
"Blender","Kitchen",
"Coffee Maker","Kitchen",
"Sneakers","Fashion",
"T-shirt","Fashion",
""),
_xlfn.SWITCH(F21,
"Electroni","Electronics",
"Electronics","Electronics",
"Fashion","Fashion",
"Kitchen","Kitchen",
"Outdoor","Outdoor",
"Accessories","Accessories"))</f>
        <v>Outdoor</v>
      </c>
      <c r="J21" s="11" t="str">
        <f>PROPER(I21)</f>
        <v>Outdoor</v>
      </c>
      <c r="K21" s="19" t="str">
        <f t="shared" si="0"/>
        <v>Camping Tent-Coleman</v>
      </c>
      <c r="L21" s="23">
        <f>DATE(2026,MONTH(DATEVALUE(MID(A21,4,3)&amp;"1")),LEFT(A21,2))</f>
        <v>46248</v>
      </c>
      <c r="M21" s="23" t="str">
        <f t="shared" si="1"/>
        <v>14-08-2026</v>
      </c>
      <c r="N21" s="19" t="str">
        <f>RIGHT(A21,2)</f>
        <v>US</v>
      </c>
    </row>
    <row r="22" spans="1:14">
      <c r="A22" s="14" t="s">
        <v>94</v>
      </c>
      <c r="B22" s="8" t="s">
        <v>95</v>
      </c>
      <c r="C22" s="8" t="s">
        <v>96</v>
      </c>
      <c r="D22" s="8">
        <v>700</v>
      </c>
      <c r="E22" s="8">
        <v>50</v>
      </c>
      <c r="F22" s="9" t="s">
        <v>36</v>
      </c>
      <c r="G22" s="12">
        <f>IF(D22="",AVERAGEIF($F:$F,F22,$D:$D),D22)</f>
        <v>700</v>
      </c>
      <c r="H22" s="17" t="str">
        <f>PROPER(TRIM(B22))</f>
        <v>Camera</v>
      </c>
      <c r="I22" s="19" t="str" cm="1">
        <f t="array" ref="I22">IF(F22="",
_xlfn.SWITCH($B$2,
"Laptop","Electronics",
"smartphone","Electronics",
"Tablet","Electronics",
"Headphones","Electronics",
"Blender","Kitchen",
"Coffee Maker","Kitchen",
"Sneakers","Fashion",
"T-shirt","Fashion",
""),
_xlfn.SWITCH(F22,
"Electroni","Electronics",
"Electronics","Electronics",
"Fashion","Fashion",
"Kitchen","Kitchen",
"Outdoor","Outdoor",
"Accessories","Accessories"))</f>
        <v>Electronics</v>
      </c>
      <c r="J22" s="9" t="str">
        <f>PROPER(I22)</f>
        <v>Electronics</v>
      </c>
      <c r="K22" s="19" t="str">
        <f t="shared" si="0"/>
        <v>Camera-Nikon</v>
      </c>
      <c r="L22" s="23">
        <f>DATE(2026,MONTH(DATEVALUE(MID(A22,4,3)&amp;"1")),LEFT(A22,2))</f>
        <v>46156</v>
      </c>
      <c r="M22" s="23" t="str">
        <f t="shared" si="1"/>
        <v>14-05-2026</v>
      </c>
      <c r="N22" s="19" t="str">
        <f>RIGHT(A22,2)</f>
        <v>RU</v>
      </c>
    </row>
    <row r="23" spans="1:14">
      <c r="A23" s="15" t="s">
        <v>97</v>
      </c>
      <c r="B23" s="10" t="s">
        <v>98</v>
      </c>
      <c r="C23" s="10" t="s">
        <v>99</v>
      </c>
      <c r="D23" s="10">
        <v>80</v>
      </c>
      <c r="E23" s="10">
        <v>20</v>
      </c>
      <c r="F23" s="11" t="s">
        <v>44</v>
      </c>
      <c r="G23" s="12">
        <f>IF(D23="",AVERAGEIF($F:$F,F23,$D:$D),D23)</f>
        <v>80</v>
      </c>
      <c r="H23" s="17" t="str">
        <f>PROPER(TRIM(B23))</f>
        <v>Microwave</v>
      </c>
      <c r="I23" s="19" t="str" cm="1">
        <f t="array" ref="I23">IF(F23="",
_xlfn.SWITCH($B$2,
"Laptop","Electronics",
"smartphone","Electronics",
"Tablet","Electronics",
"Headphones","Electronics",
"Blender","Kitchen",
"Coffee Maker","Kitchen",
"Sneakers","Fashion",
"T-shirt","Fashion",
""),
_xlfn.SWITCH(F23,
"Electroni","Electronics",
"Electronics","Electronics",
"Fashion","Fashion",
"Kitchen","Kitchen",
"Outdoor","Outdoor",
"Accessories","Accessories"))</f>
        <v>Kitchen</v>
      </c>
      <c r="J23" s="11" t="str">
        <f>PROPER(I23)</f>
        <v>Kitchen</v>
      </c>
      <c r="K23" s="19" t="str">
        <f t="shared" si="0"/>
        <v>Microwave-Panasonic</v>
      </c>
      <c r="L23" s="23">
        <f>DATE(2026,MONTH(DATEVALUE(MID(A23,4,3)&amp;"1")),LEFT(A23,2))</f>
        <v>46031</v>
      </c>
      <c r="M23" s="23" t="str">
        <f t="shared" si="1"/>
        <v>09-01-2026</v>
      </c>
      <c r="N23" s="19" t="str">
        <f>RIGHT(A23,2)</f>
        <v>CA</v>
      </c>
    </row>
    <row r="24" spans="1:14">
      <c r="A24" s="14" t="s">
        <v>100</v>
      </c>
      <c r="B24" s="8" t="s">
        <v>101</v>
      </c>
      <c r="C24" s="8" t="s">
        <v>102</v>
      </c>
      <c r="D24" s="8">
        <v>150</v>
      </c>
      <c r="E24" s="8">
        <v>30</v>
      </c>
      <c r="F24" s="9"/>
      <c r="G24" s="12">
        <f>IF(D24="",AVERAGEIF($F:$F,F24,$D:$D),D24)</f>
        <v>150</v>
      </c>
      <c r="H24" s="17" t="str">
        <f>PROPER(TRIM(B24))</f>
        <v>Fitness Tracker</v>
      </c>
      <c r="I24" s="19" t="str" cm="1">
        <f t="array" ref="I24">IF(F24="",
_xlfn.SWITCH($B$2,
"Laptop","Electronics",
"smartphone","Electronics",
"Tablet","Electronics",
"Headphones","Electronics",
"Blender","Kitchen",
"Coffee Maker","Kitchen",
"Sneakers","Fashion",
"T-shirt","Fashion",
""),
_xlfn.SWITCH(F24,
"Electroni","Electronics",
"Electronics","Electronics",
"Fashion","Fashion",
"Kitchen","Kitchen",
"Outdoor","Outdoor",
"Accessories","Accessories"))</f>
        <v>Electronics</v>
      </c>
      <c r="J24" s="11" t="str">
        <f>PROPER(I24)</f>
        <v>Electronics</v>
      </c>
      <c r="K24" s="19" t="str">
        <f t="shared" si="0"/>
        <v>Fitness Tracker-Xiaomi</v>
      </c>
      <c r="L24" s="23">
        <f>DATE(2026,MONTH(DATEVALUE(MID(A24,4,3)&amp;"1")),LEFT(A24,2))</f>
        <v>46222</v>
      </c>
      <c r="M24" s="23" t="str">
        <f t="shared" si="1"/>
        <v>19-07-2026</v>
      </c>
      <c r="N24" s="19" t="str">
        <f>RIGHT(A24,2)</f>
        <v>BR</v>
      </c>
    </row>
    <row r="25" spans="1:14">
      <c r="A25" s="14" t="s">
        <v>103</v>
      </c>
      <c r="B25" s="8" t="s">
        <v>104</v>
      </c>
      <c r="C25" s="8" t="s">
        <v>105</v>
      </c>
      <c r="D25" s="8">
        <v>800</v>
      </c>
      <c r="E25" s="8">
        <v>45</v>
      </c>
      <c r="F25" s="9" t="s">
        <v>36</v>
      </c>
      <c r="G25" s="12">
        <f>IF(D25="",AVERAGEIF($F:$F,F25,$D:$D),D25)</f>
        <v>800</v>
      </c>
      <c r="H25" s="17" t="str">
        <f>PROPER(TRIM(B25))</f>
        <v>Smartphone</v>
      </c>
      <c r="I25" s="19" t="str" cm="1">
        <f t="array" ref="I25">IF(F25="",
_xlfn.SWITCH($B$2,
"Laptop","Electronics",
"smartphone","Electronics",
"Tablet","Electronics",
"Headphones","Electronics",
"Blender","Kitchen",
"Coffee Maker","Kitchen",
"Sneakers","Fashion",
"T-shirt","Fashion",
""),
_xlfn.SWITCH(F25,
"Electroni","Electronics",
"Electronics","Electronics",
"Fashion","Fashion",
"Kitchen","Kitchen",
"Outdoor","Outdoor",
"Accessories","Accessories"))</f>
        <v>Electronics</v>
      </c>
      <c r="J25" s="9" t="str">
        <f>PROPER(I25)</f>
        <v>Electronics</v>
      </c>
      <c r="K25" s="19" t="str">
        <f t="shared" si="0"/>
        <v>Smartphone-Google</v>
      </c>
      <c r="L25" s="23">
        <f>DATE(2026,MONTH(DATEVALUE(MID(A25,4,3)&amp;"1")),LEFT(A25,2))</f>
        <v>46294</v>
      </c>
      <c r="M25" s="23" t="str">
        <f t="shared" si="1"/>
        <v>29-09-2026</v>
      </c>
      <c r="N25" s="19" t="str">
        <f>RIGHT(A25,2)</f>
        <v>CA</v>
      </c>
    </row>
    <row r="26" spans="1:14">
      <c r="A26" s="15" t="s">
        <v>106</v>
      </c>
      <c r="B26" s="10" t="s">
        <v>89</v>
      </c>
      <c r="C26" s="10" t="s">
        <v>107</v>
      </c>
      <c r="D26" s="10"/>
      <c r="E26" s="10">
        <v>25</v>
      </c>
      <c r="F26" s="11" t="s">
        <v>40</v>
      </c>
      <c r="G26" s="12">
        <f>IF(D26="",AVERAGEIF($F:$F,F26,$D:$D),D26)</f>
        <v>74</v>
      </c>
      <c r="H26" s="17" t="str">
        <f>PROPER(TRIM(B26))</f>
        <v>Sunglasses</v>
      </c>
      <c r="I26" s="19" t="str" cm="1">
        <f t="array" ref="I26">IF(F26="",
_xlfn.SWITCH($B$2,
"Laptop","Electronics",
"smartphone","Electronics",
"Tablet","Electronics",
"Headphones","Electronics",
"Blender","Kitchen",
"Coffee Maker","Kitchen",
"Sneakers","Fashion",
"T-shirt","Fashion",
""),
_xlfn.SWITCH(F26,
"Electroni","Electronics",
"Electronics","Electronics",
"Fashion","Fashion",
"Kitchen","Kitchen",
"Outdoor","Outdoor",
"Accessories","Accessories"))</f>
        <v>Fashion</v>
      </c>
      <c r="J26" s="11" t="str">
        <f>PROPER(I26)</f>
        <v>Fashion</v>
      </c>
      <c r="K26" s="19" t="str">
        <f t="shared" si="0"/>
        <v>Sunglasses-Ray-Ban</v>
      </c>
      <c r="L26" s="23">
        <f>DATE(2026,MONTH(DATEVALUE(MID(A26,4,3)&amp;"1")),LEFT(A26,2))</f>
        <v>46176</v>
      </c>
      <c r="M26" s="23" t="str">
        <f t="shared" si="1"/>
        <v>03-06-2026</v>
      </c>
      <c r="N26" s="19" t="str">
        <f>RIGHT(A26,2)</f>
        <v>CA</v>
      </c>
    </row>
    <row r="27" spans="1:14">
      <c r="A27" s="14" t="s">
        <v>108</v>
      </c>
      <c r="B27" s="8" t="s">
        <v>59</v>
      </c>
      <c r="C27" s="8" t="s">
        <v>109</v>
      </c>
      <c r="D27" s="8">
        <v>400</v>
      </c>
      <c r="E27" s="8">
        <v>40</v>
      </c>
      <c r="F27" s="9" t="s">
        <v>44</v>
      </c>
      <c r="G27" s="12">
        <f>IF(D27="",AVERAGEIF($F:$F,F27,$D:$D),D27)</f>
        <v>400</v>
      </c>
      <c r="H27" s="17" t="str">
        <f>PROPER(TRIM(B27))</f>
        <v>Blender</v>
      </c>
      <c r="I27" s="19" t="str" cm="1">
        <f t="array" ref="I27">IF(F27="",
_xlfn.SWITCH($B$2,
"Laptop","Electronics",
"smartphone","Electronics",
"Tablet","Electronics",
"Headphones","Electronics",
"Blender","Kitchen",
"Coffee Maker","Kitchen",
"Sneakers","Fashion",
"T-shirt","Fashion",
""),
_xlfn.SWITCH(F27,
"Electroni","Electronics",
"Electronics","Electronics",
"Fashion","Fashion",
"Kitchen","Kitchen",
"Outdoor","Outdoor",
"Accessories","Accessories"))</f>
        <v>Kitchen</v>
      </c>
      <c r="J27" s="9" t="str">
        <f>PROPER(I27)</f>
        <v>Kitchen</v>
      </c>
      <c r="K27" s="19" t="str">
        <f t="shared" si="0"/>
        <v>Blender-Vitamix</v>
      </c>
      <c r="L27" s="23">
        <f>DATE(2026,MONTH(DATEVALUE(MID(A27,4,3)&amp;"1")),LEFT(A27,2))</f>
        <v>46214</v>
      </c>
      <c r="M27" s="23" t="str">
        <f t="shared" si="1"/>
        <v>11-07-2026</v>
      </c>
      <c r="N27" s="19" t="str">
        <f>RIGHT(A27,2)</f>
        <v>CA</v>
      </c>
    </row>
    <row r="28" spans="1:14">
      <c r="A28" s="14" t="s">
        <v>110</v>
      </c>
      <c r="B28" s="8" t="s">
        <v>111</v>
      </c>
      <c r="C28" s="8" t="s">
        <v>112</v>
      </c>
      <c r="D28" s="8">
        <v>60</v>
      </c>
      <c r="E28" s="8">
        <v>30</v>
      </c>
      <c r="F28" s="9" t="s">
        <v>40</v>
      </c>
      <c r="G28" s="12">
        <f>IF(D28="",AVERAGEIF($F:$F,F28,$D:$D),D28)</f>
        <v>60</v>
      </c>
      <c r="H28" s="17" t="str">
        <f>PROPER(TRIM(B28))</f>
        <v>Dress</v>
      </c>
      <c r="I28" s="19" t="str" cm="1">
        <f t="array" ref="I28">IF(F28="",
_xlfn.SWITCH($B$2,
"Laptop","Electronics",
"smartphone","Electronics",
"Tablet","Electronics",
"Headphones","Electronics",
"Blender","Kitchen",
"Coffee Maker","Kitchen",
"Sneakers","Fashion",
"T-shirt","Fashion",
""),
_xlfn.SWITCH(F28,
"Electroni","Electronics",
"Electronics","Electronics",
"Fashion","Fashion",
"Kitchen","Kitchen",
"Outdoor","Outdoor",
"Accessories","Accessories"))</f>
        <v>Fashion</v>
      </c>
      <c r="J28" s="9" t="str">
        <f>PROPER(I28)</f>
        <v>Fashion</v>
      </c>
      <c r="K28" s="19" t="str">
        <f t="shared" si="0"/>
        <v>Dress-Zara</v>
      </c>
      <c r="L28" s="23">
        <f>DATE(2026,MONTH(DATEVALUE(MID(A28,4,3)&amp;"1")),LEFT(A28,2))</f>
        <v>46088</v>
      </c>
      <c r="M28" s="23" t="str">
        <f t="shared" si="1"/>
        <v>07-03-2026</v>
      </c>
      <c r="N28" s="19" t="str">
        <f>RIGHT(A28,2)</f>
        <v>CA</v>
      </c>
    </row>
    <row r="29" spans="1:14">
      <c r="A29" s="15" t="s">
        <v>113</v>
      </c>
      <c r="B29" s="10" t="s">
        <v>114</v>
      </c>
      <c r="C29" s="10" t="s">
        <v>115</v>
      </c>
      <c r="D29" s="10">
        <v>40</v>
      </c>
      <c r="E29" s="10">
        <v>10</v>
      </c>
      <c r="F29" s="11" t="s">
        <v>44</v>
      </c>
      <c r="G29" s="12">
        <f>IF(D29="",AVERAGEIF($F:$F,F29,$D:$D),D29)</f>
        <v>40</v>
      </c>
      <c r="H29" s="17" t="str">
        <f>PROPER(TRIM(B29))</f>
        <v>Toaster</v>
      </c>
      <c r="I29" s="19" t="str" cm="1">
        <f t="array" ref="I29">IF(F29="",
_xlfn.SWITCH($B$2,
"Laptop","Electronics",
"smartphone","Electronics",
"Tablet","Electronics",
"Headphones","Electronics",
"Blender","Kitchen",
"Coffee Maker","Kitchen",
"Sneakers","Fashion",
"T-shirt","Fashion",
""),
_xlfn.SWITCH(F29,
"Electroni","Electronics",
"Electronics","Electronics",
"Fashion","Fashion",
"Kitchen","Kitchen",
"Outdoor","Outdoor",
"Accessories","Accessories"))</f>
        <v>Kitchen</v>
      </c>
      <c r="J29" s="11" t="str">
        <f>PROPER(I29)</f>
        <v>Kitchen</v>
      </c>
      <c r="K29" s="19" t="str">
        <f t="shared" si="0"/>
        <v>Toaster-Hamilton</v>
      </c>
      <c r="L29" s="23">
        <f>DATE(2026,MONTH(DATEVALUE(MID(A29,4,3)&amp;"1")),LEFT(A29,2))</f>
        <v>46125</v>
      </c>
      <c r="M29" s="23" t="str">
        <f t="shared" si="1"/>
        <v>13-04-2026</v>
      </c>
      <c r="N29" s="19" t="str">
        <f>RIGHT(A29,2)</f>
        <v>CA</v>
      </c>
    </row>
    <row r="30" spans="1:14">
      <c r="A30" s="14" t="s">
        <v>116</v>
      </c>
      <c r="B30" s="8" t="s">
        <v>101</v>
      </c>
      <c r="C30" s="8" t="s">
        <v>117</v>
      </c>
      <c r="D30" s="8">
        <v>130</v>
      </c>
      <c r="E30" s="8">
        <v>5</v>
      </c>
      <c r="F30" s="9" t="s">
        <v>36</v>
      </c>
      <c r="G30" s="12">
        <f>IF(D30="",AVERAGEIF($F:$F,F30,$D:$D),D30)</f>
        <v>130</v>
      </c>
      <c r="H30" s="17" t="str">
        <f>PROPER(TRIM(B30))</f>
        <v>Fitness Tracker</v>
      </c>
      <c r="I30" s="19" t="str" cm="1">
        <f t="array" ref="I30">IF(F30="",
_xlfn.SWITCH($B$2,
"Laptop","Electronics",
"smartphone","Electronics",
"Tablet","Electronics",
"Headphones","Electronics",
"Blender","Kitchen",
"Coffee Maker","Kitchen",
"Sneakers","Fashion",
"T-shirt","Fashion",
""),
_xlfn.SWITCH(F30,
"Electroni","Electronics",
"Electronics","Electronics",
"Fashion","Fashion",
"Kitchen","Kitchen",
"Outdoor","Outdoor",
"Accessories","Accessories"))</f>
        <v>Electronics</v>
      </c>
      <c r="J30" s="9" t="str">
        <f>PROPER(I30)</f>
        <v>Electronics</v>
      </c>
      <c r="K30" s="19" t="str">
        <f t="shared" si="0"/>
        <v>Fitness Tracker-Garmin</v>
      </c>
      <c r="L30" s="23">
        <f>DATE(2026,MONTH(DATEVALUE(MID(A30,4,3)&amp;"1")),LEFT(A30,2))</f>
        <v>46166</v>
      </c>
      <c r="M30" s="23" t="str">
        <f t="shared" si="1"/>
        <v>24-05-2026</v>
      </c>
      <c r="N30" s="19" t="str">
        <f>RIGHT(A30,2)</f>
        <v>CA</v>
      </c>
    </row>
    <row r="31" spans="1:14">
      <c r="A31" s="15" t="s">
        <v>118</v>
      </c>
      <c r="B31" s="10" t="s">
        <v>119</v>
      </c>
      <c r="C31" s="10" t="s">
        <v>120</v>
      </c>
      <c r="D31" s="10">
        <v>50</v>
      </c>
      <c r="E31" s="10">
        <v>50</v>
      </c>
      <c r="F31" s="11" t="s">
        <v>40</v>
      </c>
      <c r="G31" s="12">
        <f>IF(D31="",AVERAGEIF($F:$F,F31,$D:$D),D31)</f>
        <v>50</v>
      </c>
      <c r="H31" s="17" t="str">
        <f>PROPER(TRIM(B31))</f>
        <v>Jeans</v>
      </c>
      <c r="I31" s="19" t="str" cm="1">
        <f t="array" ref="I31">IF(F31="",
_xlfn.SWITCH($B$2,
"Laptop","Electronics",
"smartphone","Electronics",
"Tablet","Electronics",
"Headphones","Electronics",
"Blender","Kitchen",
"Coffee Maker","Kitchen",
"Sneakers","Fashion",
"T-shirt","Fashion",
""),
_xlfn.SWITCH(F31,
"Electroni","Electronics",
"Electronics","Electronics",
"Fashion","Fashion",
"Kitchen","Kitchen",
"Outdoor","Outdoor",
"Accessories","Accessories"))</f>
        <v>Fashion</v>
      </c>
      <c r="J31" s="11" t="str">
        <f>PROPER(I31)</f>
        <v>Fashion</v>
      </c>
      <c r="K31" s="19" t="str">
        <f t="shared" si="0"/>
        <v>Jeans-Levi'S</v>
      </c>
      <c r="L31" s="23">
        <f>DATE(2026,MONTH(DATEVALUE(MID(A31,4,3)&amp;"1")),LEFT(A31,2))</f>
        <v>46358</v>
      </c>
      <c r="M31" s="23" t="str">
        <f t="shared" si="1"/>
        <v>02-12-2026</v>
      </c>
      <c r="N31" s="19" t="str">
        <f>RIGHT(A31,2)</f>
        <v>CA</v>
      </c>
    </row>
    <row r="32" spans="1:14">
      <c r="A32" s="15" t="s">
        <v>121</v>
      </c>
      <c r="B32" s="10" t="s">
        <v>122</v>
      </c>
      <c r="C32" s="10" t="s">
        <v>123</v>
      </c>
      <c r="D32" s="10">
        <v>100</v>
      </c>
      <c r="E32" s="10">
        <v>20</v>
      </c>
      <c r="F32" s="11" t="s">
        <v>83</v>
      </c>
      <c r="G32" s="12">
        <f>IF(D32="",AVERAGEIF($F:$F,F32,$D:$D),D32)</f>
        <v>100</v>
      </c>
      <c r="H32" s="17" t="str">
        <f>PROPER(TRIM(B32))</f>
        <v>Watch</v>
      </c>
      <c r="I32" s="19" t="str" cm="1">
        <f t="array" ref="I32">IF(F32="",
_xlfn.SWITCH($B$2,
"Laptop","Electronics",
"smartphone","Electronics",
"Tablet","Electronics",
"Headphones","Electronics",
"Blender","Kitchen",
"Coffee Maker","Kitchen",
"Sneakers","Fashion",
"T-shirt","Fashion",
""),
_xlfn.SWITCH(F32,
"Electroni","Electronics",
"Electronics","Electronics",
"Fashion","Fashion",
"Kitchen","Kitchen",
"Outdoor","Outdoor",
"Accessories","Accessories"))</f>
        <v>Accessories</v>
      </c>
      <c r="J32" s="11" t="str">
        <f>PROPER(I32)</f>
        <v>Accessories</v>
      </c>
      <c r="K32" s="19" t="str">
        <f t="shared" si="0"/>
        <v>Watch-Casio</v>
      </c>
      <c r="L32" s="23">
        <f>DATE(2026,MONTH(DATEVALUE(MID(A32,4,3)&amp;"1")),LEFT(A32,2))</f>
        <v>46212</v>
      </c>
      <c r="M32" s="23" t="str">
        <f t="shared" si="1"/>
        <v>09-07-2026</v>
      </c>
      <c r="N32" s="19" t="str">
        <f>RIGHT(A32,2)</f>
        <v>FR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AA49-07A2-4123-8D83-7EB70875B808}">
  <dimension ref="A1:I32"/>
  <sheetViews>
    <sheetView workbookViewId="0">
      <selection activeCell="B2" sqref="B2"/>
    </sheetView>
  </sheetViews>
  <sheetFormatPr defaultRowHeight="15"/>
  <cols>
    <col min="1" max="1" width="14.28515625" customWidth="1"/>
    <col min="2" max="2" width="28.7109375" style="24" customWidth="1"/>
    <col min="3" max="3" width="24.140625" customWidth="1"/>
    <col min="4" max="4" width="20.140625" customWidth="1"/>
    <col min="5" max="5" width="17.42578125" customWidth="1"/>
    <col min="6" max="6" width="23.140625" customWidth="1"/>
    <col min="7" max="7" width="17" customWidth="1"/>
    <col min="8" max="8" width="11" bestFit="1" customWidth="1"/>
    <col min="9" max="9" width="14" customWidth="1"/>
  </cols>
  <sheetData>
    <row r="1" spans="1:9">
      <c r="A1" t="s">
        <v>19</v>
      </c>
      <c r="B1" s="25" t="s">
        <v>30</v>
      </c>
      <c r="C1" t="s">
        <v>32</v>
      </c>
      <c r="D1" t="s">
        <v>20</v>
      </c>
      <c r="E1" t="s">
        <v>21</v>
      </c>
      <c r="F1" t="s">
        <v>29</v>
      </c>
      <c r="G1" t="s">
        <v>124</v>
      </c>
      <c r="H1" t="s">
        <v>23</v>
      </c>
      <c r="I1" t="s">
        <v>24</v>
      </c>
    </row>
    <row r="2" spans="1:9" ht="15.75">
      <c r="A2" s="26" t="s">
        <v>33</v>
      </c>
      <c r="B2" s="28" t="s">
        <v>125</v>
      </c>
      <c r="C2" s="26" t="s">
        <v>126</v>
      </c>
      <c r="D2" s="26" t="s">
        <v>34</v>
      </c>
      <c r="E2" s="26" t="s">
        <v>35</v>
      </c>
      <c r="F2" s="26" t="s">
        <v>127</v>
      </c>
      <c r="G2" s="27">
        <v>1000</v>
      </c>
      <c r="H2" s="26">
        <v>30</v>
      </c>
      <c r="I2" s="26" t="s">
        <v>36</v>
      </c>
    </row>
    <row r="3" spans="1:9" ht="15.75">
      <c r="A3" s="26" t="s">
        <v>86</v>
      </c>
      <c r="B3" s="28" t="s">
        <v>128</v>
      </c>
      <c r="C3" s="26" t="s">
        <v>129</v>
      </c>
      <c r="D3" s="26" t="s">
        <v>34</v>
      </c>
      <c r="E3" s="26" t="s">
        <v>87</v>
      </c>
      <c r="F3" s="26" t="s">
        <v>130</v>
      </c>
      <c r="G3" s="27">
        <v>980</v>
      </c>
      <c r="H3" s="26">
        <v>10</v>
      </c>
      <c r="I3" s="26" t="s">
        <v>36</v>
      </c>
    </row>
    <row r="4" spans="1:9" ht="15.75">
      <c r="A4" s="26" t="s">
        <v>68</v>
      </c>
      <c r="B4" s="28" t="s">
        <v>131</v>
      </c>
      <c r="C4" s="26" t="s">
        <v>132</v>
      </c>
      <c r="D4" s="26" t="s">
        <v>69</v>
      </c>
      <c r="E4" s="26" t="s">
        <v>70</v>
      </c>
      <c r="F4" s="26" t="s">
        <v>133</v>
      </c>
      <c r="G4" s="27">
        <v>950</v>
      </c>
      <c r="H4" s="26">
        <v>25</v>
      </c>
      <c r="I4" s="26" t="s">
        <v>36</v>
      </c>
    </row>
    <row r="5" spans="1:9" ht="15.75">
      <c r="A5" s="26" t="s">
        <v>45</v>
      </c>
      <c r="B5" s="28" t="s">
        <v>134</v>
      </c>
      <c r="C5" s="26" t="s">
        <v>126</v>
      </c>
      <c r="D5" s="26" t="s">
        <v>46</v>
      </c>
      <c r="E5" s="26" t="s">
        <v>47</v>
      </c>
      <c r="F5" s="26" t="s">
        <v>135</v>
      </c>
      <c r="G5" s="27">
        <v>900</v>
      </c>
      <c r="H5" s="26">
        <v>25</v>
      </c>
      <c r="I5" s="26" t="s">
        <v>36</v>
      </c>
    </row>
    <row r="6" spans="1:9" ht="15.75">
      <c r="A6" s="26" t="s">
        <v>103</v>
      </c>
      <c r="B6" s="28" t="s">
        <v>136</v>
      </c>
      <c r="C6" s="26" t="s">
        <v>137</v>
      </c>
      <c r="D6" s="26" t="s">
        <v>104</v>
      </c>
      <c r="E6" s="26" t="s">
        <v>105</v>
      </c>
      <c r="F6" s="26" t="s">
        <v>138</v>
      </c>
      <c r="G6" s="27">
        <v>800</v>
      </c>
      <c r="H6" s="26">
        <v>45</v>
      </c>
      <c r="I6" s="26" t="s">
        <v>36</v>
      </c>
    </row>
    <row r="7" spans="1:9" ht="15.75">
      <c r="A7" s="26" t="s">
        <v>94</v>
      </c>
      <c r="B7" s="28" t="s">
        <v>139</v>
      </c>
      <c r="C7" s="26" t="s">
        <v>140</v>
      </c>
      <c r="D7" s="26" t="s">
        <v>95</v>
      </c>
      <c r="E7" s="26" t="s">
        <v>96</v>
      </c>
      <c r="F7" s="26" t="s">
        <v>141</v>
      </c>
      <c r="G7" s="27">
        <v>700</v>
      </c>
      <c r="H7" s="26">
        <v>50</v>
      </c>
      <c r="I7" s="26" t="s">
        <v>36</v>
      </c>
    </row>
    <row r="8" spans="1:9" ht="15.75">
      <c r="A8" s="26" t="s">
        <v>61</v>
      </c>
      <c r="B8" s="28" t="s">
        <v>142</v>
      </c>
      <c r="C8" s="26" t="s">
        <v>143</v>
      </c>
      <c r="D8" s="26" t="s">
        <v>62</v>
      </c>
      <c r="E8" s="26" t="s">
        <v>63</v>
      </c>
      <c r="F8" s="26" t="s">
        <v>144</v>
      </c>
      <c r="G8" s="27">
        <v>500</v>
      </c>
      <c r="H8" s="26">
        <v>50</v>
      </c>
      <c r="I8" s="26" t="s">
        <v>36</v>
      </c>
    </row>
    <row r="9" spans="1:9" ht="15.75">
      <c r="A9" s="26" t="s">
        <v>108</v>
      </c>
      <c r="B9" s="28" t="s">
        <v>145</v>
      </c>
      <c r="C9" s="26" t="s">
        <v>137</v>
      </c>
      <c r="D9" s="26" t="s">
        <v>59</v>
      </c>
      <c r="E9" s="26" t="s">
        <v>109</v>
      </c>
      <c r="F9" s="26" t="s">
        <v>146</v>
      </c>
      <c r="G9" s="27">
        <v>400</v>
      </c>
      <c r="H9" s="26">
        <v>40</v>
      </c>
      <c r="I9" s="26" t="s">
        <v>44</v>
      </c>
    </row>
    <row r="10" spans="1:9" ht="15.75">
      <c r="A10" s="26" t="s">
        <v>77</v>
      </c>
      <c r="B10" s="28" t="s">
        <v>147</v>
      </c>
      <c r="C10" s="26" t="s">
        <v>148</v>
      </c>
      <c r="D10" s="26" t="s">
        <v>78</v>
      </c>
      <c r="E10" s="26" t="s">
        <v>79</v>
      </c>
      <c r="F10" s="26" t="s">
        <v>149</v>
      </c>
      <c r="G10" s="27">
        <v>250</v>
      </c>
      <c r="H10" s="26">
        <v>20</v>
      </c>
      <c r="I10" s="26" t="s">
        <v>36</v>
      </c>
    </row>
    <row r="11" spans="1:9" ht="15.75">
      <c r="A11" s="26" t="s">
        <v>51</v>
      </c>
      <c r="B11" s="28" t="s">
        <v>150</v>
      </c>
      <c r="C11" s="26" t="s">
        <v>143</v>
      </c>
      <c r="D11" s="26" t="s">
        <v>52</v>
      </c>
      <c r="E11" s="26" t="s">
        <v>53</v>
      </c>
      <c r="F11" s="26" t="s">
        <v>151</v>
      </c>
      <c r="G11" s="27">
        <v>186.66666666666666</v>
      </c>
      <c r="H11" s="26">
        <v>45</v>
      </c>
      <c r="I11" s="26" t="s">
        <v>36</v>
      </c>
    </row>
    <row r="12" spans="1:9" ht="15.75">
      <c r="A12" s="26" t="s">
        <v>84</v>
      </c>
      <c r="B12" s="28" t="s">
        <v>152</v>
      </c>
      <c r="C12" s="26" t="s">
        <v>153</v>
      </c>
      <c r="D12" s="26" t="s">
        <v>75</v>
      </c>
      <c r="E12" s="26" t="s">
        <v>85</v>
      </c>
      <c r="F12" s="26" t="s">
        <v>154</v>
      </c>
      <c r="G12" s="27">
        <v>160</v>
      </c>
      <c r="H12" s="26">
        <v>15</v>
      </c>
      <c r="I12" s="26" t="s">
        <v>36</v>
      </c>
    </row>
    <row r="13" spans="1:9" ht="15.75">
      <c r="A13" s="26" t="s">
        <v>74</v>
      </c>
      <c r="B13" s="28" t="s">
        <v>155</v>
      </c>
      <c r="C13" s="26" t="s">
        <v>137</v>
      </c>
      <c r="D13" s="26" t="s">
        <v>75</v>
      </c>
      <c r="E13" s="26" t="s">
        <v>76</v>
      </c>
      <c r="F13" s="26" t="s">
        <v>156</v>
      </c>
      <c r="G13" s="27">
        <v>150</v>
      </c>
      <c r="H13" s="26">
        <v>15</v>
      </c>
      <c r="I13" s="26" t="s">
        <v>36</v>
      </c>
    </row>
    <row r="14" spans="1:9" ht="15.75">
      <c r="A14" s="26" t="s">
        <v>88</v>
      </c>
      <c r="B14" s="28" t="s">
        <v>157</v>
      </c>
      <c r="C14" s="26" t="s">
        <v>143</v>
      </c>
      <c r="D14" s="26" t="s">
        <v>89</v>
      </c>
      <c r="E14" s="26" t="s">
        <v>90</v>
      </c>
      <c r="F14" s="26" t="s">
        <v>158</v>
      </c>
      <c r="G14" s="27">
        <v>150</v>
      </c>
      <c r="H14" s="26">
        <v>15</v>
      </c>
      <c r="I14" s="26" t="s">
        <v>40</v>
      </c>
    </row>
    <row r="15" spans="1:9" ht="15.75">
      <c r="A15" s="26" t="s">
        <v>100</v>
      </c>
      <c r="B15" s="28" t="s">
        <v>159</v>
      </c>
      <c r="C15" s="26" t="s">
        <v>160</v>
      </c>
      <c r="D15" s="26" t="s">
        <v>101</v>
      </c>
      <c r="E15" s="26" t="s">
        <v>102</v>
      </c>
      <c r="F15" s="26" t="s">
        <v>161</v>
      </c>
      <c r="G15" s="27">
        <v>150</v>
      </c>
      <c r="H15" s="26">
        <v>30</v>
      </c>
      <c r="I15" s="26" t="s">
        <v>36</v>
      </c>
    </row>
    <row r="16" spans="1:9" ht="15.75">
      <c r="A16" s="26" t="s">
        <v>41</v>
      </c>
      <c r="B16" s="28" t="s">
        <v>162</v>
      </c>
      <c r="C16" s="26" t="s">
        <v>126</v>
      </c>
      <c r="D16" s="26" t="s">
        <v>42</v>
      </c>
      <c r="E16" s="26" t="s">
        <v>43</v>
      </c>
      <c r="F16" s="26" t="s">
        <v>163</v>
      </c>
      <c r="G16" s="27">
        <v>130</v>
      </c>
      <c r="H16" s="26">
        <v>40</v>
      </c>
      <c r="I16" s="26" t="s">
        <v>44</v>
      </c>
    </row>
    <row r="17" spans="1:9" ht="15.75">
      <c r="A17" s="26" t="s">
        <v>64</v>
      </c>
      <c r="B17" s="28" t="s">
        <v>164</v>
      </c>
      <c r="C17" s="26" t="s">
        <v>143</v>
      </c>
      <c r="D17" s="26" t="s">
        <v>65</v>
      </c>
      <c r="E17" s="26" t="s">
        <v>66</v>
      </c>
      <c r="F17" s="26" t="s">
        <v>165</v>
      </c>
      <c r="G17" s="27">
        <v>130</v>
      </c>
      <c r="H17" s="26">
        <v>10</v>
      </c>
      <c r="I17" s="26" t="s">
        <v>67</v>
      </c>
    </row>
    <row r="18" spans="1:9" ht="15.75">
      <c r="A18" s="26" t="s">
        <v>91</v>
      </c>
      <c r="B18" s="28" t="s">
        <v>166</v>
      </c>
      <c r="C18" s="26" t="s">
        <v>126</v>
      </c>
      <c r="D18" s="26" t="s">
        <v>92</v>
      </c>
      <c r="E18" s="26" t="s">
        <v>93</v>
      </c>
      <c r="F18" s="26" t="s">
        <v>167</v>
      </c>
      <c r="G18" s="27">
        <v>130</v>
      </c>
      <c r="H18" s="26">
        <v>10</v>
      </c>
      <c r="I18" s="26" t="s">
        <v>67</v>
      </c>
    </row>
    <row r="19" spans="1:9" ht="15.75">
      <c r="A19" s="26" t="s">
        <v>116</v>
      </c>
      <c r="B19" s="28" t="s">
        <v>168</v>
      </c>
      <c r="C19" s="26" t="s">
        <v>137</v>
      </c>
      <c r="D19" s="26" t="s">
        <v>101</v>
      </c>
      <c r="E19" s="26" t="s">
        <v>117</v>
      </c>
      <c r="F19" s="26" t="s">
        <v>169</v>
      </c>
      <c r="G19" s="27">
        <v>130</v>
      </c>
      <c r="H19" s="26">
        <v>5</v>
      </c>
      <c r="I19" s="26" t="s">
        <v>36</v>
      </c>
    </row>
    <row r="20" spans="1:9" ht="15.75">
      <c r="A20" s="26" t="s">
        <v>72</v>
      </c>
      <c r="B20" s="28" t="s">
        <v>170</v>
      </c>
      <c r="C20" s="26" t="s">
        <v>171</v>
      </c>
      <c r="D20" s="26" t="s">
        <v>42</v>
      </c>
      <c r="E20" s="26" t="s">
        <v>73</v>
      </c>
      <c r="F20" s="26" t="s">
        <v>172</v>
      </c>
      <c r="G20" s="27">
        <v>120</v>
      </c>
      <c r="H20" s="26">
        <v>35</v>
      </c>
      <c r="I20" s="26" t="s">
        <v>36</v>
      </c>
    </row>
    <row r="21" spans="1:9" ht="15.75">
      <c r="A21" s="26" t="s">
        <v>121</v>
      </c>
      <c r="B21" s="28" t="s">
        <v>173</v>
      </c>
      <c r="C21" s="26" t="s">
        <v>174</v>
      </c>
      <c r="D21" s="26" t="s">
        <v>122</v>
      </c>
      <c r="E21" s="26" t="s">
        <v>123</v>
      </c>
      <c r="F21" s="26" t="s">
        <v>175</v>
      </c>
      <c r="G21" s="27">
        <v>100</v>
      </c>
      <c r="H21" s="26">
        <v>20</v>
      </c>
      <c r="I21" s="26" t="s">
        <v>83</v>
      </c>
    </row>
    <row r="22" spans="1:9" ht="15.75">
      <c r="A22" s="26" t="s">
        <v>58</v>
      </c>
      <c r="B22" s="28" t="s">
        <v>176</v>
      </c>
      <c r="C22" s="26" t="s">
        <v>143</v>
      </c>
      <c r="D22" s="26" t="s">
        <v>59</v>
      </c>
      <c r="E22" s="26" t="s">
        <v>60</v>
      </c>
      <c r="F22" s="26" t="s">
        <v>177</v>
      </c>
      <c r="G22" s="27">
        <v>90</v>
      </c>
      <c r="H22" s="26">
        <v>35</v>
      </c>
      <c r="I22" s="26" t="s">
        <v>44</v>
      </c>
    </row>
    <row r="23" spans="1:9" ht="15.75">
      <c r="A23" s="26" t="s">
        <v>71</v>
      </c>
      <c r="B23" s="28" t="s">
        <v>178</v>
      </c>
      <c r="C23" s="26" t="s">
        <v>179</v>
      </c>
      <c r="D23" s="26" t="s">
        <v>38</v>
      </c>
      <c r="E23" s="26" t="s">
        <v>57</v>
      </c>
      <c r="F23" s="26" t="s">
        <v>180</v>
      </c>
      <c r="G23" s="27">
        <v>90</v>
      </c>
      <c r="H23" s="26">
        <v>40</v>
      </c>
      <c r="I23" s="26" t="s">
        <v>36</v>
      </c>
    </row>
    <row r="24" spans="1:9" ht="15.75">
      <c r="A24" s="26" t="s">
        <v>37</v>
      </c>
      <c r="B24" s="28" t="s">
        <v>142</v>
      </c>
      <c r="C24" s="26" t="s">
        <v>126</v>
      </c>
      <c r="D24" s="26" t="s">
        <v>38</v>
      </c>
      <c r="E24" s="26" t="s">
        <v>39</v>
      </c>
      <c r="F24" s="26" t="s">
        <v>181</v>
      </c>
      <c r="G24" s="27">
        <v>80</v>
      </c>
      <c r="H24" s="26">
        <v>15</v>
      </c>
      <c r="I24" s="26" t="s">
        <v>40</v>
      </c>
    </row>
    <row r="25" spans="1:9" ht="15.75">
      <c r="A25" s="26" t="s">
        <v>97</v>
      </c>
      <c r="B25" s="28" t="s">
        <v>182</v>
      </c>
      <c r="C25" s="26" t="s">
        <v>137</v>
      </c>
      <c r="D25" s="26" t="s">
        <v>98</v>
      </c>
      <c r="E25" s="26" t="s">
        <v>99</v>
      </c>
      <c r="F25" s="26" t="s">
        <v>183</v>
      </c>
      <c r="G25" s="27">
        <v>80</v>
      </c>
      <c r="H25" s="26">
        <v>20</v>
      </c>
      <c r="I25" s="26" t="s">
        <v>44</v>
      </c>
    </row>
    <row r="26" spans="1:9" ht="15.75">
      <c r="A26" s="26" t="s">
        <v>106</v>
      </c>
      <c r="B26" s="28" t="s">
        <v>184</v>
      </c>
      <c r="C26" s="26" t="s">
        <v>137</v>
      </c>
      <c r="D26" s="26" t="s">
        <v>89</v>
      </c>
      <c r="E26" s="26" t="s">
        <v>107</v>
      </c>
      <c r="F26" s="26" t="s">
        <v>185</v>
      </c>
      <c r="G26" s="27">
        <v>74</v>
      </c>
      <c r="H26" s="26">
        <v>25</v>
      </c>
      <c r="I26" s="26" t="s">
        <v>40</v>
      </c>
    </row>
    <row r="27" spans="1:9" ht="15.75">
      <c r="A27" s="26" t="s">
        <v>48</v>
      </c>
      <c r="B27" s="28" t="s">
        <v>186</v>
      </c>
      <c r="C27" s="26" t="s">
        <v>126</v>
      </c>
      <c r="D27" s="26" t="s">
        <v>49</v>
      </c>
      <c r="E27" s="26" t="s">
        <v>50</v>
      </c>
      <c r="F27" s="26" t="s">
        <v>187</v>
      </c>
      <c r="G27" s="27">
        <v>70</v>
      </c>
      <c r="H27" s="26">
        <v>20</v>
      </c>
      <c r="I27" s="26" t="s">
        <v>36</v>
      </c>
    </row>
    <row r="28" spans="1:9" ht="15.75">
      <c r="A28" s="26" t="s">
        <v>110</v>
      </c>
      <c r="B28" s="28" t="s">
        <v>188</v>
      </c>
      <c r="C28" s="26" t="s">
        <v>137</v>
      </c>
      <c r="D28" s="26" t="s">
        <v>111</v>
      </c>
      <c r="E28" s="26" t="s">
        <v>112</v>
      </c>
      <c r="F28" s="26" t="s">
        <v>189</v>
      </c>
      <c r="G28" s="27">
        <v>60</v>
      </c>
      <c r="H28" s="26">
        <v>30</v>
      </c>
      <c r="I28" s="26" t="s">
        <v>40</v>
      </c>
    </row>
    <row r="29" spans="1:9" ht="15.75">
      <c r="A29" s="26" t="s">
        <v>80</v>
      </c>
      <c r="B29" s="28" t="s">
        <v>190</v>
      </c>
      <c r="C29" s="26" t="s">
        <v>137</v>
      </c>
      <c r="D29" s="26" t="s">
        <v>81</v>
      </c>
      <c r="E29" s="26" t="s">
        <v>82</v>
      </c>
      <c r="F29" s="26" t="s">
        <v>191</v>
      </c>
      <c r="G29" s="27">
        <v>50</v>
      </c>
      <c r="H29" s="26">
        <v>35</v>
      </c>
      <c r="I29" s="26" t="s">
        <v>83</v>
      </c>
    </row>
    <row r="30" spans="1:9" ht="15.75">
      <c r="A30" s="26" t="s">
        <v>118</v>
      </c>
      <c r="B30" s="28" t="s">
        <v>192</v>
      </c>
      <c r="C30" s="26" t="s">
        <v>137</v>
      </c>
      <c r="D30" s="26" t="s">
        <v>119</v>
      </c>
      <c r="E30" s="26" t="s">
        <v>120</v>
      </c>
      <c r="F30" s="26" t="s">
        <v>193</v>
      </c>
      <c r="G30" s="27">
        <v>50</v>
      </c>
      <c r="H30" s="26">
        <v>50</v>
      </c>
      <c r="I30" s="26" t="s">
        <v>40</v>
      </c>
    </row>
    <row r="31" spans="1:9" ht="15.75">
      <c r="A31" s="26" t="s">
        <v>113</v>
      </c>
      <c r="B31" s="28" t="s">
        <v>194</v>
      </c>
      <c r="C31" s="26" t="s">
        <v>137</v>
      </c>
      <c r="D31" s="26" t="s">
        <v>114</v>
      </c>
      <c r="E31" s="26" t="s">
        <v>115</v>
      </c>
      <c r="F31" s="26" t="s">
        <v>195</v>
      </c>
      <c r="G31" s="27">
        <v>40</v>
      </c>
      <c r="H31" s="26">
        <v>10</v>
      </c>
      <c r="I31" s="26" t="s">
        <v>44</v>
      </c>
    </row>
    <row r="32" spans="1:9" ht="15.75">
      <c r="A32" s="26" t="s">
        <v>55</v>
      </c>
      <c r="B32" s="28" t="s">
        <v>196</v>
      </c>
      <c r="C32" s="26" t="s">
        <v>143</v>
      </c>
      <c r="D32" s="26" t="s">
        <v>56</v>
      </c>
      <c r="E32" s="26" t="s">
        <v>57</v>
      </c>
      <c r="F32" s="26" t="s">
        <v>197</v>
      </c>
      <c r="G32" s="27">
        <v>30</v>
      </c>
      <c r="H32" s="26">
        <v>5</v>
      </c>
      <c r="I32" s="26" t="s">
        <v>40</v>
      </c>
    </row>
  </sheetData>
  <conditionalFormatting sqref="G2:G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I2:I32">
    <cfRule type="cellIs" dxfId="10" priority="1" operator="between">
      <formula>$I$2</formula>
      <formula>$I$27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CB64012E-C95A-44E5-98BF-63EF499C48B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2026-01-06T16:04:49Z</dcterms:created>
  <dcterms:modified xsi:type="dcterms:W3CDTF">2026-01-07T18:52:55Z</dcterms:modified>
  <cp:category/>
  <cp:contentStatus/>
</cp:coreProperties>
</file>