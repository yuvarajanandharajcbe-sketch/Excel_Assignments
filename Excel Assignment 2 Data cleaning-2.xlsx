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704"/>
  <workbookPr defaultThemeVersion="166925"/>
  <xr:revisionPtr revIDLastSave="0" documentId="8_{2D86AEBD-FB9A-4C72-ADA3-C2B0F3AEE89C}" xr6:coauthVersionLast="47" xr6:coauthVersionMax="47" xr10:uidLastSave="{00000000-0000-0000-0000-000000000000}"/>
  <bookViews>
    <workbookView xWindow="240" yWindow="105" windowWidth="14805" windowHeight="8010" xr2:uid="{00000000-000D-0000-FFFF-FFFF00000000}"/>
  </bookViews>
  <sheets>
    <sheet name="INSTRUCTION" sheetId="1" r:id="rId1"/>
    <sheet name="WORKEDDATASET" sheetId="2" r:id="rId2"/>
    <sheet name="CLEANED DATASET" sheetId="3" r:id="rId3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2" i="2" l="1" a="1"/>
  <c r="I2" i="2"/>
  <c r="G30" i="2"/>
  <c r="G3" i="2"/>
  <c r="G4" i="2"/>
  <c r="G5" i="2"/>
  <c r="G6" i="2"/>
  <c r="G7" i="2"/>
  <c r="G8" i="2"/>
  <c r="G9" i="2"/>
  <c r="G10" i="2"/>
  <c r="G11" i="2"/>
  <c r="G12" i="2"/>
  <c r="G13" i="2"/>
  <c r="G14" i="2"/>
  <c r="G15" i="2"/>
  <c r="G16" i="2"/>
  <c r="G17" i="2"/>
  <c r="G18" i="2"/>
  <c r="G19" i="2"/>
  <c r="G20" i="2"/>
  <c r="G21" i="2"/>
  <c r="G22" i="2"/>
  <c r="G23" i="2"/>
  <c r="G24" i="2"/>
  <c r="G25" i="2"/>
  <c r="G26" i="2"/>
  <c r="G27" i="2"/>
  <c r="G28" i="2"/>
  <c r="G29" i="2"/>
  <c r="G31" i="2"/>
  <c r="G32" i="2"/>
  <c r="G2" i="2"/>
  <c r="I3" i="2" a="1"/>
  <c r="I3" i="2"/>
  <c r="I4" i="2" a="1"/>
  <c r="I4" i="2"/>
  <c r="I5" i="2" a="1"/>
  <c r="I5" i="2"/>
  <c r="I6" i="2" a="1"/>
  <c r="I6" i="2"/>
  <c r="I7" i="2" a="1"/>
  <c r="I7" i="2"/>
  <c r="I8" i="2" a="1"/>
  <c r="I8" i="2"/>
  <c r="I9" i="2" a="1"/>
  <c r="I9" i="2"/>
  <c r="I10" i="2" a="1"/>
  <c r="I10" i="2"/>
  <c r="I11" i="2" a="1"/>
  <c r="I11" i="2"/>
  <c r="I12" i="2" a="1"/>
  <c r="I12" i="2"/>
  <c r="I13" i="2" a="1"/>
  <c r="I13" i="2"/>
  <c r="I14" i="2" a="1"/>
  <c r="I14" i="2"/>
  <c r="I15" i="2" a="1"/>
  <c r="I15" i="2"/>
  <c r="I16" i="2" a="1"/>
  <c r="I16" i="2"/>
  <c r="I17" i="2" a="1"/>
  <c r="I17" i="2"/>
  <c r="I18" i="2" a="1"/>
  <c r="I18" i="2"/>
  <c r="I19" i="2" a="1"/>
  <c r="I19" i="2"/>
  <c r="I20" i="2" a="1"/>
  <c r="I20" i="2"/>
  <c r="I21" i="2" a="1"/>
  <c r="I21" i="2"/>
  <c r="I22" i="2" a="1"/>
  <c r="I22" i="2"/>
  <c r="I23" i="2" a="1"/>
  <c r="I23" i="2"/>
  <c r="I24" i="2" a="1"/>
  <c r="I24" i="2"/>
  <c r="I25" i="2" a="1"/>
  <c r="I25" i="2"/>
  <c r="I26" i="2" a="1"/>
  <c r="I26" i="2"/>
  <c r="I27" i="2" a="1"/>
  <c r="I27" i="2"/>
  <c r="I28" i="2" a="1"/>
  <c r="I28" i="2"/>
  <c r="I29" i="2" a="1"/>
  <c r="I29" i="2"/>
  <c r="I30" i="2" a="1"/>
  <c r="I30" i="2"/>
  <c r="I31" i="2" a="1"/>
  <c r="I31" i="2"/>
  <c r="I32" i="2" a="1"/>
  <c r="I32" i="2"/>
  <c r="L2" i="2"/>
  <c r="L3" i="2"/>
  <c r="L4" i="2"/>
  <c r="L5" i="2"/>
  <c r="L6" i="2"/>
  <c r="L7" i="2"/>
  <c r="L8" i="2"/>
  <c r="L9" i="2"/>
  <c r="L10" i="2"/>
  <c r="L11" i="2"/>
  <c r="L12" i="2"/>
  <c r="L13" i="2"/>
  <c r="L14" i="2"/>
  <c r="L15" i="2"/>
  <c r="L16" i="2"/>
  <c r="L17" i="2"/>
  <c r="L18" i="2"/>
  <c r="L19" i="2"/>
  <c r="L20" i="2"/>
  <c r="L21" i="2"/>
  <c r="L22" i="2"/>
  <c r="L23" i="2"/>
  <c r="L24" i="2"/>
  <c r="L25" i="2"/>
  <c r="L26" i="2"/>
  <c r="L27" i="2"/>
  <c r="L28" i="2"/>
  <c r="L29" i="2"/>
  <c r="L30" i="2"/>
  <c r="L31" i="2"/>
  <c r="L32" i="2"/>
  <c r="K2" i="2"/>
  <c r="K22" i="2"/>
  <c r="K15" i="2"/>
  <c r="K5" i="2"/>
  <c r="K24" i="2"/>
  <c r="K30" i="2"/>
  <c r="K29" i="2"/>
  <c r="K20" i="2"/>
  <c r="K8" i="2"/>
  <c r="K16" i="2"/>
  <c r="K4" i="2"/>
  <c r="K21" i="2"/>
  <c r="K18" i="2"/>
  <c r="K12" i="2"/>
  <c r="K10" i="2"/>
  <c r="K26" i="2"/>
  <c r="K11" i="2"/>
  <c r="K3" i="2"/>
  <c r="K13" i="2"/>
  <c r="K31" i="2"/>
  <c r="K7" i="2"/>
  <c r="K23" i="2"/>
  <c r="K14" i="2"/>
  <c r="K6" i="2"/>
  <c r="K32" i="2"/>
  <c r="K9" i="2"/>
  <c r="K25" i="2"/>
  <c r="K28" i="2"/>
  <c r="K17" i="2"/>
  <c r="K27" i="2"/>
  <c r="K19" i="2"/>
  <c r="N2" i="2"/>
  <c r="N22" i="2"/>
  <c r="N15" i="2"/>
  <c r="N5" i="2"/>
  <c r="N24" i="2"/>
  <c r="N30" i="2"/>
  <c r="N29" i="2"/>
  <c r="N20" i="2"/>
  <c r="N8" i="2"/>
  <c r="N16" i="2"/>
  <c r="N4" i="2"/>
  <c r="N21" i="2"/>
  <c r="N18" i="2"/>
  <c r="N12" i="2"/>
  <c r="N10" i="2"/>
  <c r="N26" i="2"/>
  <c r="N11" i="2"/>
  <c r="N3" i="2"/>
  <c r="N13" i="2"/>
  <c r="N31" i="2"/>
  <c r="N7" i="2"/>
  <c r="N23" i="2"/>
  <c r="N14" i="2"/>
  <c r="N6" i="2"/>
  <c r="N32" i="2"/>
  <c r="N9" i="2"/>
  <c r="N25" i="2"/>
  <c r="N28" i="2"/>
  <c r="N17" i="2"/>
  <c r="N27" i="2"/>
  <c r="N19" i="2"/>
  <c r="M19" i="2"/>
  <c r="M27" i="2"/>
  <c r="M17" i="2"/>
  <c r="M28" i="2"/>
  <c r="M25" i="2"/>
  <c r="M9" i="2"/>
  <c r="M32" i="2"/>
  <c r="M6" i="2"/>
  <c r="M14" i="2"/>
  <c r="M23" i="2"/>
  <c r="M7" i="2"/>
  <c r="M31" i="2"/>
  <c r="M13" i="2"/>
  <c r="M3" i="2"/>
  <c r="M11" i="2"/>
  <c r="M26" i="2"/>
  <c r="M10" i="2"/>
  <c r="M12" i="2"/>
  <c r="M18" i="2"/>
  <c r="M21" i="2"/>
  <c r="M4" i="2"/>
  <c r="M16" i="2"/>
  <c r="M8" i="2"/>
  <c r="M20" i="2"/>
  <c r="M29" i="2"/>
  <c r="M30" i="2"/>
  <c r="M24" i="2"/>
  <c r="M5" i="2"/>
  <c r="M15" i="2"/>
  <c r="M22" i="2"/>
  <c r="M2" i="2"/>
  <c r="H2" i="2"/>
  <c r="H22" i="2"/>
  <c r="H15" i="2"/>
  <c r="H5" i="2"/>
  <c r="H24" i="2"/>
  <c r="H30" i="2"/>
  <c r="H29" i="2"/>
  <c r="H20" i="2"/>
  <c r="H8" i="2"/>
  <c r="H16" i="2"/>
  <c r="H4" i="2"/>
  <c r="H21" i="2"/>
  <c r="H18" i="2"/>
  <c r="H12" i="2"/>
  <c r="H10" i="2"/>
  <c r="H26" i="2"/>
  <c r="H11" i="2"/>
  <c r="H3" i="2"/>
  <c r="H13" i="2"/>
  <c r="H31" i="2"/>
  <c r="H7" i="2"/>
  <c r="H23" i="2"/>
  <c r="H14" i="2"/>
  <c r="H6" i="2"/>
  <c r="H32" i="2"/>
  <c r="H9" i="2"/>
  <c r="H25" i="2"/>
  <c r="H28" i="2"/>
  <c r="H17" i="2"/>
  <c r="H27" i="2"/>
  <c r="H19" i="2"/>
  <c r="J3" i="2"/>
  <c r="J4" i="2"/>
  <c r="J5" i="2"/>
  <c r="J6" i="2"/>
  <c r="J7" i="2"/>
  <c r="J8" i="2"/>
  <c r="J9" i="2"/>
  <c r="J10" i="2"/>
  <c r="J11" i="2"/>
  <c r="J12" i="2"/>
  <c r="J13" i="2"/>
  <c r="J14" i="2"/>
  <c r="J15" i="2"/>
  <c r="J16" i="2"/>
  <c r="J17" i="2"/>
  <c r="J18" i="2"/>
  <c r="J19" i="2"/>
  <c r="J20" i="2"/>
  <c r="J21" i="2"/>
  <c r="J22" i="2"/>
  <c r="J23" i="2"/>
  <c r="J24" i="2"/>
  <c r="J25" i="2"/>
  <c r="J26" i="2"/>
  <c r="J27" i="2"/>
  <c r="J28" i="2"/>
  <c r="J29" i="2"/>
  <c r="J30" i="2"/>
  <c r="J31" i="2"/>
  <c r="J32" i="2"/>
  <c r="J2" i="2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<sst xmlns="http://schemas.openxmlformats.org/spreadsheetml/2006/main" count="379" uniqueCount="198">
  <si>
    <t>Perform the following in the dataset from the 'Dataset' sheet.</t>
  </si>
  <si>
    <t>1) Handling Missing Values:</t>
  </si>
  <si>
    <t>• Check for missing values in the 'Price' column. How would you handle products with missing price information?</t>
  </si>
  <si>
    <t>• If there are products with missing categories, propose a strategy to impute or deal with these missing values effectively.</t>
  </si>
  <si>
    <t>2) Correcting Inconsistent Data:</t>
  </si>
  <si>
    <t>• Identify any inconsistent text formats present in the "Product Name" column.</t>
  </si>
  <si>
    <t>• Identify any typos present in the "Category" column.</t>
  </si>
  <si>
    <t>• Use the find and replace function to standardize the text formats in the "Product Name" column and fix any typos or misspellings in the "Category" column.</t>
  </si>
  <si>
    <t>3) Removing Duplicates:</t>
  </si>
  <si>
    <t>• Identify any duplicate rows within the dataset based on the entirety of each row, and remove them if any.</t>
  </si>
  <si>
    <t>4) Splitting and Merging Data:</t>
  </si>
  <si>
    <t>• Split the "Product ID" column into two separate columns for " Manufacturing Date" and "Country Code". Remove unnecessary characters, if any.</t>
  </si>
  <si>
    <t>• Merge the "Brand Name" and "Product Name" columns into one column named "Product Brand".</t>
  </si>
  <si>
    <t>5) Number Formatting:</t>
  </si>
  <si>
    <t>• Format the data type of the "Price" column to currency format. </t>
  </si>
  <si>
    <t>• Format the "Manufacturing Date" column to display dates in the "DD-MM-YYYY " format. </t>
  </si>
  <si>
    <t>6) Conditional Formatting:</t>
  </si>
  <si>
    <t>• Apply data bar or color scales conditional formatting in the "Price" column.</t>
  </si>
  <si>
    <t>• Create a custom rule for conditional formatting in the "Category" column to highlight cells where the category is "Electronics."</t>
  </si>
  <si>
    <t>Product ID</t>
  </si>
  <si>
    <t>Product Name</t>
  </si>
  <si>
    <t>Brand Name</t>
  </si>
  <si>
    <t>Price ($)</t>
  </si>
  <si>
    <t>Quantity</t>
  </si>
  <si>
    <t>Category</t>
  </si>
  <si>
    <t>PRICE</t>
  </si>
  <si>
    <t>CONSITENT DATA</t>
  </si>
  <si>
    <t>Category3</t>
  </si>
  <si>
    <t>Category2</t>
  </si>
  <si>
    <t>PRODUCT BRAND</t>
  </si>
  <si>
    <t>MANUFACTURING DATE</t>
  </si>
  <si>
    <t>DATE FORMAT</t>
  </si>
  <si>
    <t>COUNTRY  CODE</t>
  </si>
  <si>
    <t>28-JAN-US</t>
  </si>
  <si>
    <t>laptop</t>
  </si>
  <si>
    <t>Dell</t>
  </si>
  <si>
    <t>Electronics</t>
  </si>
  <si>
    <t>27-JAN-IT</t>
  </si>
  <si>
    <t>Asus</t>
  </si>
  <si>
    <t>17-JUN-IN</t>
  </si>
  <si>
    <t>Laptop</t>
  </si>
  <si>
    <t>HP</t>
  </si>
  <si>
    <t>11-APR-US</t>
  </si>
  <si>
    <t>smartphone</t>
  </si>
  <si>
    <t>Samsung</t>
  </si>
  <si>
    <t>29-SEP-CA</t>
  </si>
  <si>
    <t>Smartphone</t>
  </si>
  <si>
    <t>Google</t>
  </si>
  <si>
    <t>14-MAY-RU</t>
  </si>
  <si>
    <t>Camera</t>
  </si>
  <si>
    <t>Nikon</t>
  </si>
  <si>
    <t>05-SEP-UK</t>
  </si>
  <si>
    <t>Tablet</t>
  </si>
  <si>
    <t>Apple</t>
  </si>
  <si>
    <t>11-JUL-CA</t>
  </si>
  <si>
    <t>Blender</t>
  </si>
  <si>
    <t>Vitamix</t>
  </si>
  <si>
    <t>Kitchen</t>
  </si>
  <si>
    <t>16-APR-ES</t>
  </si>
  <si>
    <t>headphones</t>
  </si>
  <si>
    <t>Bose</t>
  </si>
  <si>
    <t>Electroni</t>
  </si>
  <si>
    <t>20-AUG-CN</t>
  </si>
  <si>
    <t>Smartwatch</t>
  </si>
  <si>
    <t>Huawei</t>
  </si>
  <si>
    <t>18-FEB-CA</t>
  </si>
  <si>
    <t>Fitbit</t>
  </si>
  <si>
    <t>01-MAR-UK</t>
  </si>
  <si>
    <t>Sunglasses</t>
  </si>
  <si>
    <t>Oakley</t>
  </si>
  <si>
    <t>Fashion</t>
  </si>
  <si>
    <t>19-JUL-BR</t>
  </si>
  <si>
    <t>Fitness Tracker</t>
  </si>
  <si>
    <t>Xiaomi</t>
  </si>
  <si>
    <t>03-MAR-US</t>
  </si>
  <si>
    <t>Coffee Maker</t>
  </si>
  <si>
    <t>Keurig</t>
  </si>
  <si>
    <t>14-OCT-UK</t>
  </si>
  <si>
    <t>Hiking Boots</t>
  </si>
  <si>
    <t>Timberland</t>
  </si>
  <si>
    <t>Outdoor</t>
  </si>
  <si>
    <t>24-MAY-CA</t>
  </si>
  <si>
    <t>Garmin</t>
  </si>
  <si>
    <t>08-DEC-DE</t>
  </si>
  <si>
    <t>Nespresso</t>
  </si>
  <si>
    <t>09-JUL-FR</t>
  </si>
  <si>
    <t>Watch</t>
  </si>
  <si>
    <t>Casio</t>
  </si>
  <si>
    <t>Accessories</t>
  </si>
  <si>
    <t>23-AUG-UK</t>
  </si>
  <si>
    <t>Ninja</t>
  </si>
  <si>
    <t>25-NOV-AU</t>
  </si>
  <si>
    <t>Sneakers</t>
  </si>
  <si>
    <t>Adidas</t>
  </si>
  <si>
    <t>15-FEB-US</t>
  </si>
  <si>
    <t>Nike</t>
  </si>
  <si>
    <t>09-JAN-CA</t>
  </si>
  <si>
    <t>Microwave</t>
  </si>
  <si>
    <t>Panasonic</t>
  </si>
  <si>
    <t>22-MAY-US</t>
  </si>
  <si>
    <t>Backpack</t>
  </si>
  <si>
    <t>NorthFace</t>
  </si>
  <si>
    <t>07-MAR-CA</t>
  </si>
  <si>
    <t>Dress</t>
  </si>
  <si>
    <t>Zara</t>
  </si>
  <si>
    <t>21-AUG-CA</t>
  </si>
  <si>
    <t>Laptop Bag</t>
  </si>
  <si>
    <t>Samsonite</t>
  </si>
  <si>
    <t>02-DEC-CA</t>
  </si>
  <si>
    <t>Jeans</t>
  </si>
  <si>
    <t>Levi's</t>
  </si>
  <si>
    <t>13-APR-CA</t>
  </si>
  <si>
    <t>Toaster</t>
  </si>
  <si>
    <t>Hamilton</t>
  </si>
  <si>
    <t>19-JUL-UK</t>
  </si>
  <si>
    <t>T-shirt</t>
  </si>
  <si>
    <t>07-JUN-UK</t>
  </si>
  <si>
    <t>Headphones</t>
  </si>
  <si>
    <t>Sony</t>
  </si>
  <si>
    <t>14-AUG-US</t>
  </si>
  <si>
    <t>Camping Tent</t>
  </si>
  <si>
    <t>Coleman</t>
  </si>
  <si>
    <t>03-JUN-CA</t>
  </si>
  <si>
    <t>Ray-Ban</t>
  </si>
  <si>
    <t>PRICE $</t>
  </si>
  <si>
    <t>28-01-2025</t>
  </si>
  <si>
    <t>US</t>
  </si>
  <si>
    <t>Laptop-Dell</t>
  </si>
  <si>
    <t>27-01-2025</t>
  </si>
  <si>
    <t>IT</t>
  </si>
  <si>
    <t>Laptop-Asus</t>
  </si>
  <si>
    <t>17-06-2025</t>
  </si>
  <si>
    <t>IN</t>
  </si>
  <si>
    <t>Laptop-Hp</t>
  </si>
  <si>
    <t>11-04-2025</t>
  </si>
  <si>
    <t>Smartphone-Samsung</t>
  </si>
  <si>
    <t>29-09-2025</t>
  </si>
  <si>
    <t>CA</t>
  </si>
  <si>
    <t>Smartphone-Google</t>
  </si>
  <si>
    <t>14-05-2025</t>
  </si>
  <si>
    <t>RU</t>
  </si>
  <si>
    <t>Camera-Nikon</t>
  </si>
  <si>
    <t>05-09-2025</t>
  </si>
  <si>
    <t>UK</t>
  </si>
  <si>
    <t>Tablet-Apple</t>
  </si>
  <si>
    <t>11-07-2025</t>
  </si>
  <si>
    <t>Blender-Vitamix</t>
  </si>
  <si>
    <t>16-04-2025</t>
  </si>
  <si>
    <t>Jeans-Levi'S</t>
  </si>
  <si>
    <t>20-08-2025</t>
  </si>
  <si>
    <t>Toaster-Hamilton</t>
  </si>
  <si>
    <t>18-02-2025</t>
  </si>
  <si>
    <t>T-Shirt-Adidas</t>
  </si>
  <si>
    <t>01-03-2025</t>
  </si>
  <si>
    <t>ES</t>
  </si>
  <si>
    <t>Headphones-Bose</t>
  </si>
  <si>
    <t>19-07-2025</t>
  </si>
  <si>
    <t>Headphones-Sony</t>
  </si>
  <si>
    <t>03-03-2025</t>
  </si>
  <si>
    <t>CN</t>
  </si>
  <si>
    <t>Smartwatch-Huawei</t>
  </si>
  <si>
    <t>14-10-2025</t>
  </si>
  <si>
    <t>Smartwatch-Fitbit</t>
  </si>
  <si>
    <t>24-05-2025</t>
  </si>
  <si>
    <t>Sunglasses-Oakley</t>
  </si>
  <si>
    <t>08-12-2025</t>
  </si>
  <si>
    <t>BR</t>
  </si>
  <si>
    <t>Fitness Tracker-Xiaomi</t>
  </si>
  <si>
    <t>09-07-2025</t>
  </si>
  <si>
    <t>Coffee Maker-Keurig</t>
  </si>
  <si>
    <t>23-08-2025</t>
  </si>
  <si>
    <t>Hiking Boots-Timberland</t>
  </si>
  <si>
    <t>25-11-2025</t>
  </si>
  <si>
    <t>Camping Tent-Coleman</t>
  </si>
  <si>
    <t>15-02-2025</t>
  </si>
  <si>
    <t>Fitness Tracker-Garmin</t>
  </si>
  <si>
    <t>09-01-2025</t>
  </si>
  <si>
    <t>DE</t>
  </si>
  <si>
    <t>Coffee Maker-Nespresso</t>
  </si>
  <si>
    <t>22-05-2025</t>
  </si>
  <si>
    <t>FR</t>
  </si>
  <si>
    <t>Watch-Casio</t>
  </si>
  <si>
    <t>07-03-2025</t>
  </si>
  <si>
    <t>Blender-Ninja</t>
  </si>
  <si>
    <t>21-08-2025</t>
  </si>
  <si>
    <t>AU</t>
  </si>
  <si>
    <t>Sneakers-Adidas</t>
  </si>
  <si>
    <t>02-12-2025</t>
  </si>
  <si>
    <t>Sneakers-Nike</t>
  </si>
  <si>
    <t>13-04-2025</t>
  </si>
  <si>
    <t>Microwave-Panasonic</t>
  </si>
  <si>
    <t>Sunglasses-Ray-Ban</t>
  </si>
  <si>
    <t>07-06-2025</t>
  </si>
  <si>
    <t>Backpack-Northface</t>
  </si>
  <si>
    <t>14-08-2025</t>
  </si>
  <si>
    <t>Dress-Zara</t>
  </si>
  <si>
    <t>03-06-2025</t>
  </si>
  <si>
    <t>Laptop Bag-Samsonite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</si>
</sst>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$&quot;#,##0.00"/>
  </numFmts>
  <fonts count="7">
    <font>
      <sz val="11"/>
      <color theme="1"/>
      <name val="Calibri"/>
      <family val="2"/>
      <scheme val="minor"/>
    </font>
    <font>
      <b/>
      <sz val="11"/>
      <color theme="1"/>
      <name val="Arial"/>
      <charset val="1"/>
    </font>
    <font>
      <sz val="10"/>
      <color theme="1"/>
      <name val="Arial"/>
      <charset val="1"/>
    </font>
    <font>
      <b/>
      <sz val="12"/>
      <color theme="1"/>
      <name val="Times New Roman"/>
      <charset val="1"/>
    </font>
    <font>
      <sz val="12"/>
      <color theme="1"/>
      <name val="Times New Roman"/>
      <charset val="1"/>
    </font>
    <font>
      <b/>
      <sz val="10"/>
      <color theme="1"/>
      <name val="Arial"/>
      <charset val="1"/>
    </font>
    <font>
      <sz val="12"/>
      <color rgb="FF000000"/>
      <name val="Calibri"/>
      <family val="2"/>
      <charset val="1"/>
    </font>
  </fonts>
  <fills count="5">
    <fill>
      <patternFill patternType="none"/>
    </fill>
    <fill>
      <patternFill patternType="gray125"/>
    </fill>
    <fill>
      <patternFill patternType="solid">
        <fgColor rgb="FF4DD0E1"/>
        <bgColor indexed="64"/>
      </patternFill>
    </fill>
    <fill>
      <patternFill patternType="solid">
        <fgColor rgb="FFE0F7FA"/>
        <bgColor indexed="64"/>
      </patternFill>
    </fill>
    <fill>
      <patternFill patternType="solid">
        <fgColor rgb="FF00B0F0"/>
        <bgColor indexed="64"/>
      </patternFill>
    </fill>
  </fills>
  <borders count="10">
    <border>
      <left/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rgb="FFCCCCCC"/>
      </left>
      <right style="thin">
        <color rgb="FFCCCCCC"/>
      </right>
      <top style="thin">
        <color rgb="FF000000"/>
      </top>
      <bottom style="thin">
        <color rgb="FFCCCCCC"/>
      </bottom>
      <diagonal/>
    </border>
    <border>
      <left style="thin">
        <color rgb="FFCCCCCC"/>
      </left>
      <right style="thin">
        <color rgb="FF000000"/>
      </right>
      <top style="thin">
        <color rgb="FF000000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000000"/>
      </right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000000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1">
    <xf numFmtId="0" fontId="0" fillId="0" borderId="0"/>
  </cellStyleXfs>
  <cellXfs count="30">
    <xf numFmtId="0" fontId="0" fillId="0" borderId="0" xfId="0"/>
    <xf numFmtId="0" fontId="1" fillId="0" borderId="1" xfId="0" applyFont="1" applyBorder="1" applyAlignment="1">
      <alignment readingOrder="1"/>
    </xf>
    <xf numFmtId="0" fontId="2" fillId="0" borderId="1" xfId="0" applyFont="1" applyBorder="1" applyAlignment="1">
      <alignment readingOrder="1"/>
    </xf>
    <xf numFmtId="0" fontId="2" fillId="0" borderId="0" xfId="0" applyFont="1" applyAlignment="1">
      <alignment readingOrder="1"/>
    </xf>
    <xf numFmtId="0" fontId="3" fillId="0" borderId="1" xfId="0" applyFont="1" applyBorder="1" applyAlignment="1">
      <alignment readingOrder="1"/>
    </xf>
    <xf numFmtId="0" fontId="4" fillId="0" borderId="1" xfId="0" applyFont="1" applyBorder="1" applyAlignment="1">
      <alignment readingOrder="1"/>
    </xf>
    <xf numFmtId="0" fontId="5" fillId="2" borderId="2" xfId="0" applyFont="1" applyFill="1" applyBorder="1" applyAlignment="1">
      <alignment readingOrder="1"/>
    </xf>
    <xf numFmtId="0" fontId="5" fillId="2" borderId="3" xfId="0" applyFont="1" applyFill="1" applyBorder="1" applyAlignment="1">
      <alignment readingOrder="1"/>
    </xf>
    <xf numFmtId="0" fontId="2" fillId="0" borderId="4" xfId="0" applyFont="1" applyBorder="1" applyAlignment="1">
      <alignment readingOrder="1"/>
    </xf>
    <xf numFmtId="0" fontId="2" fillId="0" borderId="5" xfId="0" applyFont="1" applyBorder="1" applyAlignment="1">
      <alignment readingOrder="1"/>
    </xf>
    <xf numFmtId="0" fontId="2" fillId="3" borderId="4" xfId="0" applyFont="1" applyFill="1" applyBorder="1" applyAlignment="1">
      <alignment readingOrder="1"/>
    </xf>
    <xf numFmtId="0" fontId="2" fillId="3" borderId="5" xfId="0" applyFont="1" applyFill="1" applyBorder="1" applyAlignment="1">
      <alignment readingOrder="1"/>
    </xf>
    <xf numFmtId="0" fontId="0" fillId="0" borderId="0" xfId="0" applyAlignment="1">
      <alignment wrapText="1"/>
    </xf>
    <xf numFmtId="0" fontId="5" fillId="2" borderId="6" xfId="0" applyFont="1" applyFill="1" applyBorder="1" applyAlignment="1">
      <alignment readingOrder="1"/>
    </xf>
    <xf numFmtId="0" fontId="2" fillId="0" borderId="7" xfId="0" applyFont="1" applyBorder="1" applyAlignment="1">
      <alignment readingOrder="1"/>
    </xf>
    <xf numFmtId="0" fontId="2" fillId="3" borderId="7" xfId="0" applyFont="1" applyFill="1" applyBorder="1" applyAlignment="1">
      <alignment readingOrder="1"/>
    </xf>
    <xf numFmtId="0" fontId="0" fillId="4" borderId="0" xfId="0" applyFill="1"/>
    <xf numFmtId="0" fontId="2" fillId="3" borderId="8" xfId="0" applyFont="1" applyFill="1" applyBorder="1" applyAlignment="1">
      <alignment readingOrder="1"/>
    </xf>
    <xf numFmtId="0" fontId="5" fillId="2" borderId="9" xfId="0" applyFont="1" applyFill="1" applyBorder="1" applyAlignment="1">
      <alignment readingOrder="1"/>
    </xf>
    <xf numFmtId="0" fontId="2" fillId="3" borderId="0" xfId="0" applyFont="1" applyFill="1" applyAlignment="1">
      <alignment readingOrder="1"/>
    </xf>
    <xf numFmtId="0" fontId="5" fillId="2" borderId="9" xfId="0" applyFont="1" applyFill="1" applyBorder="1" applyAlignment="1">
      <alignment wrapText="1" readingOrder="1"/>
    </xf>
    <xf numFmtId="0" fontId="2" fillId="3" borderId="8" xfId="0" applyFont="1" applyFill="1" applyBorder="1" applyAlignment="1">
      <alignment wrapText="1" readingOrder="1"/>
    </xf>
    <xf numFmtId="0" fontId="5" fillId="2" borderId="9" xfId="0" applyFont="1" applyFill="1" applyBorder="1" applyAlignment="1">
      <alignment horizontal="right" wrapText="1" readingOrder="1"/>
    </xf>
    <xf numFmtId="14" fontId="2" fillId="3" borderId="0" xfId="0" applyNumberFormat="1" applyFont="1" applyFill="1" applyAlignment="1">
      <alignment horizontal="right" wrapText="1" readingOrder="1"/>
    </xf>
    <xf numFmtId="14" fontId="0" fillId="0" borderId="0" xfId="0" applyNumberFormat="1"/>
    <xf numFmtId="14" fontId="0" fillId="0" borderId="0" xfId="0" applyNumberFormat="1" applyAlignment="1">
      <alignment horizontal="center"/>
    </xf>
    <xf numFmtId="0" fontId="0" fillId="0" borderId="0" xfId="0" applyAlignment="1">
      <alignment horizontal="center"/>
    </xf>
    <xf numFmtId="164" fontId="0" fillId="0" borderId="0" xfId="0" applyNumberFormat="1" applyAlignment="1">
      <alignment horizontal="center"/>
    </xf>
    <xf numFmtId="14" fontId="6" fillId="0" borderId="0" xfId="0" applyNumberFormat="1" applyFont="1" applyAlignment="1">
      <alignment horizontal="center"/>
    </xf>
    <xf numFmtId="0" fontId="2" fillId="0" borderId="0" xfId="0" applyFont="1" applyBorder="1" applyAlignment="1">
      <alignment readingOrder="1"/>
    </xf>
  </cellXfs>
  <cellStyles count="1">
    <cellStyle name="Normal" xfId="0" builtinId="0"/>
  </cellStyles>
  <dxfs count="40">
    <dxf>
      <alignment horizontal="center"/>
    </dxf>
    <dxf>
      <alignment horizontal="center"/>
    </dxf>
    <dxf>
      <numFmt numFmtId="164" formatCode="&quot;$&quot;#,##0.00"/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font>
        <color rgb="FF9C0006"/>
      </font>
      <fill>
        <patternFill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charset val="1"/>
        <scheme val="none"/>
      </font>
      <numFmt numFmtId="0" formatCode="General"/>
      <fill>
        <patternFill patternType="solid">
          <fgColor indexed="64"/>
          <bgColor rgb="FFE0F7FA"/>
        </patternFill>
      </fill>
      <alignment horizontal="general" vertical="bottom" textRotation="0" wrapText="0" indent="0" justifyLastLine="0" shrinkToFit="0" readingOrder="1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charset val="1"/>
        <scheme val="none"/>
      </font>
      <numFmt numFmtId="0" formatCode="General"/>
      <fill>
        <patternFill patternType="solid">
          <fgColor indexed="64"/>
          <bgColor rgb="FFE0F7FA"/>
        </patternFill>
      </fill>
      <alignment horizontal="general" vertical="bottom" textRotation="0" wrapText="0" indent="0" justifyLastLine="0" shrinkToFit="0" readingOrder="1"/>
      <border diagonalUp="0" diagonalDown="0" outline="0">
        <left/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charset val="1"/>
        <scheme val="none"/>
      </font>
      <numFmt numFmtId="19" formatCode="m/d/yyyy"/>
      <fill>
        <patternFill patternType="solid">
          <fgColor indexed="64"/>
          <bgColor rgb="FFE0F7FA"/>
        </patternFill>
      </fill>
      <alignment horizontal="right" vertical="bottom" textRotation="0" wrapText="1" indent="0" justifyLastLine="0" shrinkToFit="0" readingOrder="1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charset val="1"/>
        <scheme val="none"/>
      </font>
      <numFmt numFmtId="19" formatCode="m/d/yyyy"/>
      <fill>
        <patternFill patternType="solid">
          <fgColor indexed="64"/>
          <bgColor rgb="FFE0F7FA"/>
        </patternFill>
      </fill>
      <alignment horizontal="right" vertical="bottom" textRotation="0" wrapText="1" indent="0" justifyLastLine="0" shrinkToFit="0" readingOrder="1"/>
      <border diagonalUp="0" diagonalDown="0" outline="0">
        <left/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charset val="1"/>
        <scheme val="none"/>
      </font>
      <numFmt numFmtId="19" formatCode="m/d/yyyy"/>
      <fill>
        <patternFill patternType="solid">
          <fgColor indexed="64"/>
          <bgColor rgb="FFE0F7FA"/>
        </patternFill>
      </fill>
      <alignment horizontal="right" vertical="bottom" textRotation="0" wrapText="1" indent="0" justifyLastLine="0" shrinkToFit="0" readingOrder="1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charset val="1"/>
        <scheme val="none"/>
      </font>
      <numFmt numFmtId="19" formatCode="m/d/yyyy"/>
      <fill>
        <patternFill patternType="solid">
          <fgColor indexed="64"/>
          <bgColor rgb="FFE0F7FA"/>
        </patternFill>
      </fill>
      <alignment horizontal="right" vertical="bottom" textRotation="0" wrapText="1" indent="0" justifyLastLine="0" shrinkToFit="0" readingOrder="1"/>
      <border diagonalUp="0" diagonalDown="0" outline="0">
        <left/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charset val="1"/>
        <scheme val="none"/>
      </font>
      <numFmt numFmtId="0" formatCode="General"/>
      <fill>
        <patternFill patternType="solid">
          <fgColor indexed="64"/>
          <bgColor rgb="FFE0F7FA"/>
        </patternFill>
      </fill>
      <alignment horizontal="general" vertical="bottom" textRotation="0" wrapText="0" indent="0" justifyLastLine="0" shrinkToFit="0" readingOrder="1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charset val="1"/>
        <scheme val="none"/>
      </font>
      <numFmt numFmtId="0" formatCode="General"/>
      <fill>
        <patternFill patternType="solid">
          <fgColor indexed="64"/>
          <bgColor rgb="FFE0F7FA"/>
        </patternFill>
      </fill>
      <alignment horizontal="general" vertical="bottom" textRotation="0" wrapText="0" indent="0" justifyLastLine="0" shrinkToFit="0" readingOrder="1"/>
      <border diagonalUp="0" diagonalDown="0" outline="0">
        <left/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charset val="1"/>
        <scheme val="none"/>
      </font>
      <numFmt numFmtId="0" formatCode="General"/>
      <fill>
        <patternFill patternType="solid">
          <fgColor indexed="64"/>
          <bgColor rgb="FFE0F7FA"/>
        </patternFill>
      </fill>
      <alignment horizontal="general" vertical="bottom" textRotation="0" wrapText="0" indent="0" justifyLastLine="0" shrinkToFit="0" readingOrder="1"/>
      <border diagonalUp="0" diagonalDown="0">
        <left style="thin">
          <color rgb="FFCCCCCC"/>
        </left>
        <right style="thin">
          <color rgb="FF000000"/>
        </right>
        <top style="thin">
          <color rgb="FFCCCCCC"/>
        </top>
        <bottom style="thin">
          <color rgb="FFCCCCCC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charset val="1"/>
        <scheme val="none"/>
      </font>
      <numFmt numFmtId="0" formatCode="General"/>
      <fill>
        <patternFill patternType="solid">
          <fgColor indexed="64"/>
          <bgColor rgb="FFE0F7FA"/>
        </patternFill>
      </fill>
      <alignment horizontal="general" vertical="bottom" textRotation="0" wrapText="0" indent="0" justifyLastLine="0" shrinkToFit="0" readingOrder="1"/>
      <border diagonalUp="0" diagonalDown="0" outline="0">
        <left style="thin">
          <color rgb="FFCCCCCC"/>
        </left>
        <right style="thin">
          <color rgb="FF000000"/>
        </right>
        <top style="thin">
          <color rgb="FFCCCCCC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charset val="1"/>
        <scheme val="none"/>
      </font>
      <numFmt numFmtId="0" formatCode="General"/>
      <fill>
        <patternFill patternType="solid">
          <fgColor indexed="64"/>
          <bgColor rgb="FFE0F7FA"/>
        </patternFill>
      </fill>
      <alignment horizontal="general" vertical="bottom" textRotation="0" wrapText="0" indent="0" justifyLastLine="0" shrinkToFit="0" readingOrder="1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charset val="1"/>
        <scheme val="none"/>
      </font>
      <numFmt numFmtId="0" formatCode="General"/>
      <fill>
        <patternFill patternType="solid">
          <fgColor indexed="64"/>
          <bgColor rgb="FFE0F7FA"/>
        </patternFill>
      </fill>
      <alignment horizontal="general" vertical="bottom" textRotation="0" wrapText="0" indent="0" justifyLastLine="0" shrinkToFit="0" readingOrder="1"/>
      <border diagonalUp="0" diagonalDown="0"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charset val="1"/>
        <scheme val="none"/>
      </font>
      <numFmt numFmtId="0" formatCode="General"/>
      <fill>
        <patternFill patternType="solid">
          <fgColor indexed="64"/>
          <bgColor rgb="FFE0F7FA"/>
        </patternFill>
      </fill>
      <alignment horizontal="general" vertical="bottom" textRotation="0" wrapText="0" indent="0" justifyLastLine="0" shrinkToFit="0" readingOrder="1"/>
      <border diagonalUp="0" diagonalDown="0" outline="0">
        <left style="thin">
          <color rgb="FFCCCCCC"/>
        </left>
        <right style="thin">
          <color rgb="FFCCCCCC"/>
        </right>
        <top style="thin">
          <color rgb="FFCCCCCC"/>
        </top>
        <bottom/>
      </border>
    </dxf>
    <dxf>
      <numFmt numFmtId="0" formatCode="General"/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charset val="1"/>
        <scheme val="none"/>
      </font>
      <fill>
        <patternFill patternType="solid">
          <fgColor indexed="64"/>
          <bgColor rgb="FFE0F7FA"/>
        </patternFill>
      </fill>
      <alignment horizontal="general" vertical="bottom" textRotation="0" wrapText="0" indent="0" justifyLastLine="0" shrinkToFit="0" readingOrder="1"/>
      <border diagonalUp="0" diagonalDown="0">
        <left style="thin">
          <color rgb="FFCCCCCC"/>
        </left>
        <right style="thin">
          <color rgb="FF000000"/>
        </right>
        <top style="thin">
          <color rgb="FFCCCCCC"/>
        </top>
        <bottom style="thin">
          <color rgb="FFCCCCCC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charset val="1"/>
        <scheme val="none"/>
      </font>
      <fill>
        <patternFill patternType="solid">
          <fgColor indexed="64"/>
          <bgColor rgb="FFE0F7FA"/>
        </patternFill>
      </fill>
      <alignment horizontal="general" vertical="bottom" textRotation="0" wrapText="0" indent="0" justifyLastLine="0" shrinkToFit="0" readingOrder="1"/>
      <border diagonalUp="0" diagonalDown="0" outline="0">
        <left style="thin">
          <color rgb="FFCCCCCC"/>
        </left>
        <right style="thin">
          <color rgb="FF000000"/>
        </right>
        <top style="thin">
          <color rgb="FFCCCCCC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charset val="1"/>
        <scheme val="none"/>
      </font>
      <fill>
        <patternFill patternType="solid">
          <fgColor indexed="64"/>
          <bgColor rgb="FFE0F7FA"/>
        </patternFill>
      </fill>
      <alignment horizontal="general" vertical="bottom" textRotation="0" wrapText="0" indent="0" justifyLastLine="0" shrinkToFit="0" readingOrder="1"/>
      <border diagonalUp="0" diagonalDown="0"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charset val="1"/>
        <scheme val="none"/>
      </font>
      <fill>
        <patternFill patternType="solid">
          <fgColor indexed="64"/>
          <bgColor rgb="FFE0F7FA"/>
        </patternFill>
      </fill>
      <alignment horizontal="general" vertical="bottom" textRotation="0" wrapText="0" indent="0" justifyLastLine="0" shrinkToFit="0" readingOrder="1"/>
      <border diagonalUp="0" diagonalDown="0" outline="0">
        <left style="thin">
          <color rgb="FFCCCCCC"/>
        </left>
        <right style="thin">
          <color rgb="FFCCCCCC"/>
        </right>
        <top style="thin">
          <color rgb="FFCCCCCC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charset val="1"/>
        <scheme val="none"/>
      </font>
      <fill>
        <patternFill patternType="solid">
          <fgColor indexed="64"/>
          <bgColor rgb="FFE0F7FA"/>
        </patternFill>
      </fill>
      <alignment horizontal="general" vertical="bottom" textRotation="0" wrapText="0" indent="0" justifyLastLine="0" shrinkToFit="0" readingOrder="1"/>
      <border diagonalUp="0" diagonalDown="0"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charset val="1"/>
        <scheme val="none"/>
      </font>
      <fill>
        <patternFill patternType="solid">
          <fgColor indexed="64"/>
          <bgColor rgb="FFE0F7FA"/>
        </patternFill>
      </fill>
      <alignment horizontal="general" vertical="bottom" textRotation="0" wrapText="0" indent="0" justifyLastLine="0" shrinkToFit="0" readingOrder="1"/>
      <border diagonalUp="0" diagonalDown="0" outline="0">
        <left style="thin">
          <color rgb="FFCCCCCC"/>
        </left>
        <right style="thin">
          <color rgb="FFCCCCCC"/>
        </right>
        <top style="thin">
          <color rgb="FFCCCCCC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charset val="1"/>
        <scheme val="none"/>
      </font>
      <fill>
        <patternFill patternType="solid">
          <fgColor indexed="64"/>
          <bgColor rgb="FFE0F7FA"/>
        </patternFill>
      </fill>
      <alignment horizontal="general" vertical="bottom" textRotation="0" wrapText="0" indent="0" justifyLastLine="0" shrinkToFit="0" readingOrder="1"/>
      <border diagonalUp="0" diagonalDown="0"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charset val="1"/>
        <scheme val="none"/>
      </font>
      <fill>
        <patternFill patternType="solid">
          <fgColor indexed="64"/>
          <bgColor rgb="FFE0F7FA"/>
        </patternFill>
      </fill>
      <alignment horizontal="general" vertical="bottom" textRotation="0" wrapText="0" indent="0" justifyLastLine="0" shrinkToFit="0" readingOrder="1"/>
      <border diagonalUp="0" diagonalDown="0" outline="0">
        <left style="thin">
          <color rgb="FFCCCCCC"/>
        </left>
        <right style="thin">
          <color rgb="FFCCCCCC"/>
        </right>
        <top style="thin">
          <color rgb="FFCCCCCC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charset val="1"/>
        <scheme val="none"/>
      </font>
      <fill>
        <patternFill patternType="solid">
          <fgColor indexed="64"/>
          <bgColor rgb="FFE0F7FA"/>
        </patternFill>
      </fill>
      <alignment horizontal="general" vertical="bottom" textRotation="0" wrapText="0" indent="0" justifyLastLine="0" shrinkToFit="0" readingOrder="1"/>
      <border diagonalUp="0" diagonalDown="0"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charset val="1"/>
        <scheme val="none"/>
      </font>
      <fill>
        <patternFill patternType="solid">
          <fgColor indexed="64"/>
          <bgColor rgb="FFE0F7FA"/>
        </patternFill>
      </fill>
      <alignment horizontal="general" vertical="bottom" textRotation="0" wrapText="0" indent="0" justifyLastLine="0" shrinkToFit="0" readingOrder="1"/>
      <border diagonalUp="0" diagonalDown="0" outline="0">
        <left style="thin">
          <color rgb="FFCCCCCC"/>
        </left>
        <right style="thin">
          <color rgb="FFCCCCCC"/>
        </right>
        <top style="thin">
          <color rgb="FFCCCCCC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charset val="1"/>
        <scheme val="none"/>
      </font>
      <fill>
        <patternFill patternType="solid">
          <fgColor indexed="64"/>
          <bgColor rgb="FFE0F7FA"/>
        </patternFill>
      </fill>
      <alignment horizontal="general" vertical="bottom" textRotation="0" wrapText="0" indent="0" justifyLastLine="0" shrinkToFit="0" readingOrder="1"/>
      <border diagonalUp="0" diagonalDown="0">
        <left/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charset val="1"/>
        <scheme val="none"/>
      </font>
      <fill>
        <patternFill patternType="solid">
          <fgColor indexed="64"/>
          <bgColor rgb="FFE0F7FA"/>
        </patternFill>
      </fill>
      <alignment horizontal="general" vertical="bottom" textRotation="0" wrapText="0" indent="0" justifyLastLine="0" shrinkToFit="0" readingOrder="1"/>
      <border diagonalUp="0" diagonalDown="0" outline="0">
        <left/>
        <right style="thin">
          <color rgb="FFCCCCCC"/>
        </right>
        <top style="thin">
          <color rgb="FFCCCCCC"/>
        </top>
        <bottom/>
      </border>
    </dxf>
    <dxf>
      <border outline="0">
        <left style="thin">
          <color rgb="FF000000"/>
        </left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charset val="1"/>
        <scheme val="none"/>
      </font>
      <fill>
        <patternFill patternType="solid">
          <fgColor indexed="64"/>
          <bgColor rgb="FFE0F7FA"/>
        </patternFill>
      </fill>
      <alignment horizontal="general" vertical="bottom" textRotation="0" wrapText="0" indent="0" justifyLastLine="0" shrinkToFit="0" readingOrder="1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charset val="1"/>
        <scheme val="none"/>
      </font>
      <fill>
        <patternFill patternType="solid">
          <fgColor indexed="64"/>
          <bgColor rgb="FF4DD0E1"/>
        </patternFill>
      </fill>
      <alignment horizontal="general" vertical="bottom" textRotation="0" wrapText="0" indent="0" justifyLastLine="0" shrinkToFit="0" readingOrder="1"/>
      <border diagonalUp="0" diagonalDown="0" outline="0">
        <left style="thin">
          <color rgb="FFCCCCCC"/>
        </left>
        <right style="thin">
          <color rgb="FFCCCCCC"/>
        </right>
        <top/>
        <bottom/>
      </border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eetMetadata" Target="metadata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ED218CE0-F78C-4C93-9A5D-6D194A7D988D}" name="Table1" displayName="Table1" ref="A1:N32" totalsRowShown="0" headerRowDxfId="39" dataDxfId="38" tableBorderDxfId="37">
  <autoFilter ref="A1:N32" xr:uid="{ED218CE0-F78C-4C93-9A5D-6D194A7D988D}"/>
  <sortState xmlns:xlrd2="http://schemas.microsoft.com/office/spreadsheetml/2017/richdata2" ref="A2:N32">
    <sortCondition descending="1" ref="G1:G32"/>
  </sortState>
  <tableColumns count="14">
    <tableColumn id="1" xr3:uid="{A28F8895-2EBE-4B9C-AEDB-FA3FFAC24F13}" name="Product ID" dataDxfId="35" totalsRowDxfId="36"/>
    <tableColumn id="2" xr3:uid="{0F650101-6EED-478D-B850-671D7F1703FB}" name="Product Name" dataDxfId="33" totalsRowDxfId="34"/>
    <tableColumn id="3" xr3:uid="{B4F13BA1-1026-446A-BDD5-69094C90ABFB}" name="Brand Name" dataDxfId="31" totalsRowDxfId="32"/>
    <tableColumn id="4" xr3:uid="{D340E665-F7A1-4F8C-9183-D1777CE5387F}" name="Price ($)" dataDxfId="29" totalsRowDxfId="30"/>
    <tableColumn id="5" xr3:uid="{17F7E2D2-99E9-4BCB-AC72-FC536766B85B}" name="Quantity" dataDxfId="27" totalsRowDxfId="28"/>
    <tableColumn id="6" xr3:uid="{A3142884-2C02-40A7-A650-E0C95030AFD0}" name="Category" dataDxfId="25" totalsRowDxfId="26"/>
    <tableColumn id="7" xr3:uid="{A646DAD4-ECF0-425E-A64E-46F56A1BB66D}" name="PRICE" dataDxfId="24">
      <calculatedColumnFormula>IFERROR(IF(D2="", AVERAGE($D$2:$D$32), D2), "NA")</calculatedColumnFormula>
    </tableColumn>
    <tableColumn id="8" xr3:uid="{D61F88A2-F699-4017-9333-680F0847BE9B}" name="CONSITENT DATA" dataDxfId="22" totalsRowDxfId="23">
      <calculatedColumnFormula>PROPER(TRIM(B2))</calculatedColumnFormula>
    </tableColumn>
    <tableColumn id="9" xr3:uid="{813CB302-A25A-4DDD-82FD-C165BC3567D5}" name="Category3" dataDxfId="21">
      <calculatedColumnFormula array="1">IF(F2="",
_xlfn.SWITCH($B$2,
"Laptop","Electronics",
"smartphone","Electronics",
"Tablet","Electronics",
"Headphones","Electronics",
"Blender","Kitchen",
"Coffee Maker","Kitchen",
"Sneakers","Fashion",
"T-shirt","Fashion",
""),
_xlfn.SWITCH(F2,
"Electroni","Electronics",
"Electronics","Electronics",
"Fashion","Fashion",
"Kitchen","Kitchen",
"Outdoor","Outdoor",
"Accessories","Accessories"))</calculatedColumnFormula>
    </tableColumn>
    <tableColumn id="10" xr3:uid="{02D805DB-D806-44F1-8457-84452758E6DE}" name="Category2" dataDxfId="19" totalsRowDxfId="20">
      <calculatedColumnFormula>PROPER(I2)</calculatedColumnFormula>
    </tableColumn>
    <tableColumn id="11" xr3:uid="{652A2AE7-A445-4BE8-98BE-A3E95F2EBFB5}" name="PRODUCT BRAND" dataDxfId="17" totalsRowDxfId="18">
      <calculatedColumnFormula>PROPER(CONCATENATE(B2,"-",C2))</calculatedColumnFormula>
    </tableColumn>
    <tableColumn id="12" xr3:uid="{D7483E4E-6A4B-4786-8E07-1BC90BC797B6}" name="MANUFACTURING DATE" dataDxfId="15" totalsRowDxfId="16">
      <calculatedColumnFormula>DATE(2025,MONTH(DATEVALUE(MID(A2,4,3)&amp;"1")),LEFT(A2,2))</calculatedColumnFormula>
    </tableColumn>
    <tableColumn id="14" xr3:uid="{F3076F74-DB1E-4227-B5AE-2CFA316C865F}" name="DATE FORMAT" dataDxfId="13" totalsRowDxfId="14">
      <calculatedColumnFormula>TEXT(L2,"DD-MM-YYYY")</calculatedColumnFormula>
    </tableColumn>
    <tableColumn id="13" xr3:uid="{8B16AC3D-27E5-4E5C-BD3B-6F9F243AE8F5}" name="COUNTRY  CODE" dataDxfId="11" totalsRowDxfId="12">
      <calculatedColumnFormula>RIGHT(A2,2)</calculatedColumnFormula>
    </tableColumn>
  </tableColumns>
  <tableStyleInfo name="TableStyleMedium6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DA69210D-5D30-4074-93CE-563EB2CB391B}" name="Table3" displayName="Table3" ref="A1:I32" totalsRowShown="0" dataDxfId="9">
  <autoFilter ref="A1:I32" xr:uid="{DA69210D-5D30-4074-93CE-563EB2CB391B}"/>
  <sortState xmlns:xlrd2="http://schemas.microsoft.com/office/spreadsheetml/2017/richdata2" ref="A2:I32">
    <sortCondition descending="1" ref="G1:G32"/>
  </sortState>
  <tableColumns count="9">
    <tableColumn id="1" xr3:uid="{5335987F-7264-4BDA-A99B-8ADE197ABAAB}" name="Product ID" dataDxfId="8"/>
    <tableColumn id="2" xr3:uid="{31E9204E-8C9C-4A43-8CA5-28083F607597}" name="MANUFACTURING DATE" dataDxfId="7"/>
    <tableColumn id="3" xr3:uid="{4B0049BF-A0CE-43E2-8662-0BD8029D00EE}" name="COUNTRY  CODE" dataDxfId="6"/>
    <tableColumn id="4" xr3:uid="{D0E1719C-FC0A-4755-BE56-72C6C9F999BD}" name="Product Name" dataDxfId="5"/>
    <tableColumn id="5" xr3:uid="{F9E4D5D3-F67E-424E-BB82-DC049BF56A8D}" name="Brand Name" dataDxfId="4"/>
    <tableColumn id="6" xr3:uid="{4A28CE9B-8A32-4BF3-A52E-40B1B086FAB1}" name="PRODUCT BRAND" dataDxfId="3"/>
    <tableColumn id="7" xr3:uid="{6EC65B59-0773-4292-84D8-E31086D325B7}" name="PRICE $" dataDxfId="2"/>
    <tableColumn id="8" xr3:uid="{F8E7500B-7EE3-4CEE-BFBF-492ACA4A2E41}" name="Quantity" dataDxfId="1"/>
    <tableColumn id="9" xr3:uid="{5A616B65-4ED1-4236-A21E-89FC870237FF}" name="Category" dataDxfId="0"/>
  </tableColumns>
  <tableStyleInfo name="TableStyleMedium5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1000"/>
  <sheetViews>
    <sheetView tabSelected="1" workbookViewId="0">
      <selection activeCell="A3" sqref="A3"/>
    </sheetView>
  </sheetViews>
  <sheetFormatPr defaultRowHeight="15"/>
  <sheetData>
    <row r="1" spans="1:26">
      <c r="A1" s="1" t="s">
        <v>0</v>
      </c>
      <c r="B1" s="2"/>
      <c r="C1" s="2"/>
      <c r="D1" s="2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</row>
    <row r="2" spans="1:26">
      <c r="A2" s="3"/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ht="15.75">
      <c r="A3" s="3"/>
      <c r="B3" s="4" t="s">
        <v>1</v>
      </c>
      <c r="C3" s="2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ht="15.75">
      <c r="A4" s="3"/>
      <c r="B4" s="3"/>
      <c r="C4" s="5" t="s">
        <v>2</v>
      </c>
      <c r="D4" s="2"/>
      <c r="E4" s="2"/>
      <c r="F4" s="2"/>
      <c r="G4" s="2"/>
      <c r="H4" s="2"/>
      <c r="I4" s="2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</row>
    <row r="5" spans="1:26" ht="15.75">
      <c r="A5" s="3"/>
      <c r="B5" s="3"/>
      <c r="C5" s="5" t="s">
        <v>3</v>
      </c>
      <c r="D5" s="2"/>
      <c r="E5" s="2"/>
      <c r="F5" s="2"/>
      <c r="G5" s="2"/>
      <c r="H5" s="2"/>
      <c r="I5" s="2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>
      <c r="A6" s="3"/>
      <c r="B6" s="3"/>
      <c r="C6" s="3"/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ht="15.75">
      <c r="A7" s="3"/>
      <c r="B7" s="4" t="s">
        <v>4</v>
      </c>
      <c r="C7" s="2"/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ht="15.75">
      <c r="A8" s="3"/>
      <c r="B8" s="3"/>
      <c r="C8" s="5" t="s">
        <v>5</v>
      </c>
      <c r="D8" s="2"/>
      <c r="E8" s="2"/>
      <c r="F8" s="2"/>
      <c r="G8" s="2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</row>
    <row r="9" spans="1:26" ht="15.75">
      <c r="A9" s="3"/>
      <c r="B9" s="3"/>
      <c r="C9" s="5" t="s">
        <v>6</v>
      </c>
      <c r="D9" s="2"/>
      <c r="E9" s="2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</row>
    <row r="10" spans="1:26" ht="15.75">
      <c r="A10" s="3"/>
      <c r="B10" s="3"/>
      <c r="C10" s="5" t="s">
        <v>7</v>
      </c>
      <c r="D10" s="2"/>
      <c r="E10" s="2"/>
      <c r="F10" s="2"/>
      <c r="G10" s="2"/>
      <c r="H10" s="2"/>
      <c r="I10" s="2"/>
      <c r="J10" s="2"/>
      <c r="K10" s="2"/>
      <c r="L10" s="2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</row>
    <row r="11" spans="1:26">
      <c r="A11" s="3"/>
      <c r="B11" s="3"/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ht="15.75">
      <c r="A12" s="3"/>
      <c r="B12" s="4" t="s">
        <v>8</v>
      </c>
      <c r="C12" s="2"/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ht="15.75">
      <c r="A13" s="3"/>
      <c r="B13" s="3"/>
      <c r="C13" s="5" t="s">
        <v>9</v>
      </c>
      <c r="D13" s="2"/>
      <c r="E13" s="2"/>
      <c r="F13" s="2"/>
      <c r="G13" s="2"/>
      <c r="H13" s="2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</row>
    <row r="14" spans="1:26">
      <c r="A14" s="3"/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spans="1:26" ht="15.75">
      <c r="A15" s="3"/>
      <c r="B15" s="4" t="s">
        <v>10</v>
      </c>
      <c r="C15" s="2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</row>
    <row r="16" spans="1:26" ht="15.75">
      <c r="A16" s="3"/>
      <c r="B16" s="3"/>
      <c r="C16" s="5" t="s">
        <v>11</v>
      </c>
      <c r="D16" s="2"/>
      <c r="E16" s="2"/>
      <c r="F16" s="2"/>
      <c r="G16" s="2"/>
      <c r="H16" s="2"/>
      <c r="I16" s="2"/>
      <c r="J16" s="2"/>
      <c r="K16" s="2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1:26" ht="15.75">
      <c r="A17" s="3"/>
      <c r="B17" s="3"/>
      <c r="C17" s="5" t="s">
        <v>12</v>
      </c>
      <c r="D17" s="2"/>
      <c r="E17" s="2"/>
      <c r="F17" s="2"/>
      <c r="G17" s="2"/>
      <c r="H17" s="2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>
      <c r="A18" s="3"/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ht="15.75">
      <c r="A19" s="3"/>
      <c r="B19" s="4" t="s">
        <v>13</v>
      </c>
      <c r="C19" s="2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ht="15.75">
      <c r="A20" s="3"/>
      <c r="B20" s="3"/>
      <c r="C20" s="5" t="s">
        <v>14</v>
      </c>
      <c r="D20" s="2"/>
      <c r="E20" s="2"/>
      <c r="F20" s="2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</row>
    <row r="21" spans="1:26" ht="15.75">
      <c r="A21" s="3"/>
      <c r="B21" s="3"/>
      <c r="C21" s="5" t="s">
        <v>15</v>
      </c>
      <c r="D21" s="2"/>
      <c r="E21" s="2"/>
      <c r="F21" s="2"/>
      <c r="G21" s="2"/>
      <c r="H21" s="2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>
      <c r="A22" s="3"/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spans="1:26" ht="15.75">
      <c r="A23" s="3"/>
      <c r="B23" s="4" t="s">
        <v>16</v>
      </c>
      <c r="C23" s="2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ht="15.75">
      <c r="A24" s="3"/>
      <c r="B24" s="3"/>
      <c r="C24" s="5" t="s">
        <v>17</v>
      </c>
      <c r="D24" s="2"/>
      <c r="E24" s="2"/>
      <c r="F24" s="2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ht="15.75">
      <c r="A25" s="3"/>
      <c r="B25" s="3"/>
      <c r="C25" s="5" t="s">
        <v>18</v>
      </c>
      <c r="D25" s="2"/>
      <c r="E25" s="2"/>
      <c r="F25" s="2"/>
      <c r="G25" s="2"/>
      <c r="H25" s="2"/>
      <c r="I25" s="2"/>
      <c r="J25" s="2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</row>
    <row r="26" spans="1:26">
      <c r="A26" s="3"/>
      <c r="B26" s="3"/>
      <c r="C26" s="3"/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>
      <c r="A27" s="3"/>
      <c r="B27" s="3"/>
      <c r="C27" s="3"/>
      <c r="D27" s="3"/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</row>
    <row r="28" spans="1:26">
      <c r="A28" s="3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>
      <c r="A29" s="3"/>
      <c r="B29" s="3"/>
      <c r="C29" s="3"/>
      <c r="D29" s="3"/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</row>
    <row r="30" spans="1:26">
      <c r="A30" s="3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</row>
    <row r="31" spans="1:26">
      <c r="A31" s="3"/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</row>
    <row r="32" spans="1:26">
      <c r="A32" s="3"/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</row>
    <row r="33" spans="1:26">
      <c r="A33" s="3"/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</row>
    <row r="34" spans="1:26">
      <c r="A34" s="3"/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</row>
    <row r="35" spans="1:26">
      <c r="A35" s="3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spans="1:26">
      <c r="A36" s="3"/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spans="1:26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  <row r="40" spans="1:26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</row>
    <row r="41" spans="1:26">
      <c r="A41" s="3"/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</row>
    <row r="42" spans="1:26">
      <c r="A42" s="3"/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</row>
    <row r="43" spans="1:26">
      <c r="A43" s="3"/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</row>
    <row r="44" spans="1:26">
      <c r="A44" s="3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</row>
    <row r="45" spans="1:26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</row>
    <row r="46" spans="1:26">
      <c r="A46" s="3"/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</row>
    <row r="47" spans="1:26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</row>
    <row r="48" spans="1:26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</row>
    <row r="49" spans="1:26">
      <c r="A49" s="3"/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</row>
    <row r="50" spans="1:26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</row>
    <row r="51" spans="1:26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</row>
    <row r="52" spans="1:26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</row>
    <row r="53" spans="1:26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</row>
    <row r="54" spans="1:26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</row>
    <row r="55" spans="1:26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</row>
    <row r="56" spans="1:26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</row>
    <row r="57" spans="1:26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</row>
    <row r="58" spans="1:26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</row>
    <row r="59" spans="1:26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</row>
    <row r="60" spans="1:26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</row>
    <row r="61" spans="1:26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</row>
    <row r="62" spans="1:26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</row>
    <row r="63" spans="1:26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</row>
    <row r="64" spans="1:26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</row>
    <row r="65" spans="1:26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</row>
    <row r="66" spans="1:26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</row>
    <row r="67" spans="1:26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</row>
    <row r="68" spans="1:26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</row>
    <row r="69" spans="1:26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</row>
    <row r="70" spans="1:26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</row>
    <row r="71" spans="1:26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</row>
    <row r="72" spans="1:26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</row>
    <row r="73" spans="1:26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</row>
    <row r="74" spans="1:26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</row>
    <row r="75" spans="1:26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</row>
    <row r="76" spans="1:26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</row>
    <row r="77" spans="1:26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</row>
    <row r="78" spans="1:26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</row>
    <row r="79" spans="1:26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</row>
    <row r="80" spans="1:26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</row>
    <row r="81" spans="1:26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</row>
    <row r="82" spans="1:26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</row>
    <row r="83" spans="1:26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</row>
    <row r="84" spans="1:26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</row>
    <row r="85" spans="1:26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</row>
    <row r="86" spans="1:26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</row>
    <row r="87" spans="1:26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</row>
    <row r="88" spans="1:26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</row>
    <row r="89" spans="1:26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</row>
    <row r="90" spans="1:26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</row>
    <row r="91" spans="1:26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</row>
    <row r="92" spans="1:26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</row>
    <row r="93" spans="1:26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</row>
    <row r="94" spans="1:26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</row>
    <row r="95" spans="1:26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</row>
    <row r="96" spans="1:26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</row>
    <row r="97" spans="1:26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</row>
    <row r="98" spans="1:26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</row>
    <row r="99" spans="1:26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</row>
    <row r="100" spans="1:26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</row>
    <row r="101" spans="1:26">
      <c r="A101" s="3"/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</row>
    <row r="102" spans="1:26">
      <c r="A102" s="3"/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</row>
    <row r="103" spans="1:26">
      <c r="A103" s="3"/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</row>
    <row r="104" spans="1:26">
      <c r="A104" s="3"/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</row>
    <row r="105" spans="1:26">
      <c r="A105" s="3"/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</row>
    <row r="106" spans="1:26">
      <c r="A106" s="3"/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</row>
    <row r="107" spans="1:26">
      <c r="A107" s="3"/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</row>
    <row r="108" spans="1:26">
      <c r="A108" s="3"/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</row>
    <row r="109" spans="1:26">
      <c r="A109" s="3"/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</row>
    <row r="110" spans="1:26">
      <c r="A110" s="3"/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</row>
    <row r="111" spans="1:26">
      <c r="A111" s="3"/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</row>
    <row r="112" spans="1:26">
      <c r="A112" s="3"/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</row>
    <row r="113" spans="1:26">
      <c r="A113" s="3"/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</row>
    <row r="114" spans="1:26">
      <c r="A114" s="3"/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</row>
    <row r="115" spans="1:26">
      <c r="A115" s="3"/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</row>
    <row r="116" spans="1:26">
      <c r="A116" s="3"/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</row>
    <row r="117" spans="1:26">
      <c r="A117" s="3"/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</row>
    <row r="118" spans="1:26">
      <c r="A118" s="3"/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</row>
    <row r="119" spans="1:26">
      <c r="A119" s="3"/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</row>
    <row r="120" spans="1:26">
      <c r="A120" s="3"/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</row>
    <row r="121" spans="1:26">
      <c r="A121" s="3"/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</row>
    <row r="122" spans="1:26">
      <c r="A122" s="3"/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</row>
    <row r="123" spans="1:26">
      <c r="A123" s="3"/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</row>
    <row r="124" spans="1:26">
      <c r="A124" s="3"/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</row>
    <row r="125" spans="1:26">
      <c r="A125" s="3"/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</row>
    <row r="126" spans="1:26">
      <c r="A126" s="3"/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</row>
    <row r="127" spans="1:26">
      <c r="A127" s="3"/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</row>
    <row r="128" spans="1:26">
      <c r="A128" s="3"/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</row>
    <row r="129" spans="1:26">
      <c r="A129" s="3"/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</row>
    <row r="130" spans="1:26">
      <c r="A130" s="3"/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</row>
    <row r="131" spans="1:26">
      <c r="A131" s="3"/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</row>
    <row r="132" spans="1:26">
      <c r="A132" s="3"/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</row>
    <row r="133" spans="1:26">
      <c r="A133" s="3"/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</row>
    <row r="134" spans="1:26">
      <c r="A134" s="3"/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</row>
    <row r="135" spans="1:26">
      <c r="A135" s="3"/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</row>
    <row r="136" spans="1:26">
      <c r="A136" s="3"/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</row>
    <row r="137" spans="1:26">
      <c r="A137" s="3"/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</row>
    <row r="138" spans="1:26">
      <c r="A138" s="3"/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</row>
    <row r="139" spans="1:26">
      <c r="A139" s="3"/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</row>
    <row r="140" spans="1:26">
      <c r="A140" s="3"/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</row>
    <row r="141" spans="1:26">
      <c r="A141" s="3"/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</row>
    <row r="142" spans="1:26">
      <c r="A142" s="3"/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</row>
    <row r="143" spans="1:26">
      <c r="A143" s="3"/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</row>
    <row r="144" spans="1:26">
      <c r="A144" s="3"/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</row>
    <row r="145" spans="1:26">
      <c r="A145" s="3"/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</row>
    <row r="146" spans="1:26">
      <c r="A146" s="3"/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</row>
    <row r="147" spans="1:26">
      <c r="A147" s="3"/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</row>
    <row r="148" spans="1:26">
      <c r="A148" s="3"/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</row>
    <row r="149" spans="1:26">
      <c r="A149" s="3"/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</row>
    <row r="150" spans="1:26">
      <c r="A150" s="3"/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</row>
    <row r="151" spans="1:26">
      <c r="A151" s="3"/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</row>
    <row r="152" spans="1:26">
      <c r="A152" s="3"/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</row>
    <row r="153" spans="1:26">
      <c r="A153" s="3"/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</row>
    <row r="154" spans="1:26">
      <c r="A154" s="3"/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</row>
    <row r="155" spans="1:26">
      <c r="A155" s="3"/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</row>
    <row r="156" spans="1:26">
      <c r="A156" s="3"/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</row>
    <row r="157" spans="1:26">
      <c r="A157" s="3"/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</row>
    <row r="158" spans="1:26">
      <c r="A158" s="3"/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</row>
    <row r="159" spans="1:26">
      <c r="A159" s="3"/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</row>
    <row r="160" spans="1:26">
      <c r="A160" s="3"/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</row>
    <row r="161" spans="1:26">
      <c r="A161" s="3"/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</row>
    <row r="162" spans="1:26">
      <c r="A162" s="3"/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</row>
    <row r="163" spans="1:26">
      <c r="A163" s="3"/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</row>
    <row r="164" spans="1:26">
      <c r="A164" s="3"/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</row>
    <row r="165" spans="1:26">
      <c r="A165" s="3"/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</row>
    <row r="166" spans="1:26">
      <c r="A166" s="3"/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</row>
    <row r="167" spans="1:26">
      <c r="A167" s="3"/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</row>
    <row r="168" spans="1:26">
      <c r="A168" s="3"/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</row>
    <row r="169" spans="1:26">
      <c r="A169" s="3"/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</row>
    <row r="170" spans="1:26">
      <c r="A170" s="3"/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</row>
    <row r="171" spans="1:26">
      <c r="A171" s="3"/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</row>
    <row r="172" spans="1:26">
      <c r="A172" s="3"/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</row>
    <row r="173" spans="1:26">
      <c r="A173" s="3"/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</row>
    <row r="174" spans="1:26">
      <c r="A174" s="3"/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</row>
    <row r="175" spans="1:26">
      <c r="A175" s="3"/>
      <c r="B175" s="3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</row>
    <row r="176" spans="1:26">
      <c r="A176" s="3"/>
      <c r="B176" s="3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</row>
    <row r="177" spans="1:26">
      <c r="A177" s="3"/>
      <c r="B177" s="3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</row>
    <row r="178" spans="1:26">
      <c r="A178" s="3"/>
      <c r="B178" s="3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</row>
    <row r="179" spans="1:26">
      <c r="A179" s="3"/>
      <c r="B179" s="3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</row>
    <row r="180" spans="1:26">
      <c r="A180" s="3"/>
      <c r="B180" s="3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</row>
    <row r="181" spans="1:26">
      <c r="A181" s="3"/>
      <c r="B181" s="3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</row>
    <row r="182" spans="1:26">
      <c r="A182" s="3"/>
      <c r="B182" s="3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</row>
    <row r="183" spans="1:26">
      <c r="A183" s="3"/>
      <c r="B183" s="3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</row>
    <row r="184" spans="1:26">
      <c r="A184" s="3"/>
      <c r="B184" s="3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</row>
    <row r="185" spans="1:26">
      <c r="A185" s="3"/>
      <c r="B185" s="3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</row>
    <row r="186" spans="1:26">
      <c r="A186" s="3"/>
      <c r="B186" s="3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</row>
    <row r="187" spans="1:26">
      <c r="A187" s="3"/>
      <c r="B187" s="3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</row>
    <row r="188" spans="1:26">
      <c r="A188" s="3"/>
      <c r="B188" s="3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</row>
    <row r="189" spans="1:26">
      <c r="A189" s="3"/>
      <c r="B189" s="3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</row>
    <row r="190" spans="1:26">
      <c r="A190" s="3"/>
      <c r="B190" s="3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</row>
    <row r="191" spans="1:26">
      <c r="A191" s="3"/>
      <c r="B191" s="3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</row>
    <row r="192" spans="1:26">
      <c r="A192" s="3"/>
      <c r="B192" s="3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</row>
    <row r="193" spans="1:26">
      <c r="A193" s="3"/>
      <c r="B193" s="3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</row>
    <row r="194" spans="1:26">
      <c r="A194" s="3"/>
      <c r="B194" s="3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</row>
    <row r="195" spans="1:26">
      <c r="A195" s="3"/>
      <c r="B195" s="3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</row>
    <row r="196" spans="1:26">
      <c r="A196" s="3"/>
      <c r="B196" s="3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</row>
    <row r="197" spans="1:26">
      <c r="A197" s="3"/>
      <c r="B197" s="3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</row>
    <row r="198" spans="1:26">
      <c r="A198" s="3"/>
      <c r="B198" s="3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</row>
    <row r="199" spans="1:26">
      <c r="A199" s="3"/>
      <c r="B199" s="3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</row>
    <row r="200" spans="1:26">
      <c r="A200" s="3"/>
      <c r="B200" s="3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</row>
    <row r="201" spans="1:26">
      <c r="A201" s="3"/>
      <c r="B201" s="3"/>
      <c r="C201" s="3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</row>
    <row r="202" spans="1:26">
      <c r="A202" s="3"/>
      <c r="B202" s="3"/>
      <c r="C202" s="3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</row>
    <row r="203" spans="1:26">
      <c r="A203" s="3"/>
      <c r="B203" s="3"/>
      <c r="C203" s="3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</row>
    <row r="204" spans="1:26">
      <c r="A204" s="3"/>
      <c r="B204" s="3"/>
      <c r="C204" s="3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</row>
    <row r="205" spans="1:26">
      <c r="A205" s="3"/>
      <c r="B205" s="3"/>
      <c r="C205" s="3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</row>
    <row r="206" spans="1:26">
      <c r="A206" s="3"/>
      <c r="B206" s="3"/>
      <c r="C206" s="3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</row>
    <row r="207" spans="1:26">
      <c r="A207" s="3"/>
      <c r="B207" s="3"/>
      <c r="C207" s="3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</row>
    <row r="208" spans="1:26">
      <c r="A208" s="3"/>
      <c r="B208" s="3"/>
      <c r="C208" s="3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</row>
    <row r="209" spans="1:26">
      <c r="A209" s="3"/>
      <c r="B209" s="3"/>
      <c r="C209" s="3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</row>
    <row r="210" spans="1:26">
      <c r="A210" s="3"/>
      <c r="B210" s="3"/>
      <c r="C210" s="3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</row>
    <row r="211" spans="1:26">
      <c r="A211" s="3"/>
      <c r="B211" s="3"/>
      <c r="C211" s="3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</row>
    <row r="212" spans="1:26">
      <c r="A212" s="3"/>
      <c r="B212" s="3"/>
      <c r="C212" s="3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</row>
    <row r="213" spans="1:26">
      <c r="A213" s="3"/>
      <c r="B213" s="3"/>
      <c r="C213" s="3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</row>
    <row r="214" spans="1:26">
      <c r="A214" s="3"/>
      <c r="B214" s="3"/>
      <c r="C214" s="3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</row>
    <row r="215" spans="1:26">
      <c r="A215" s="3"/>
      <c r="B215" s="3"/>
      <c r="C215" s="3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</row>
    <row r="216" spans="1:26">
      <c r="A216" s="3"/>
      <c r="B216" s="3"/>
      <c r="C216" s="3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</row>
    <row r="217" spans="1:26">
      <c r="A217" s="3"/>
      <c r="B217" s="3"/>
      <c r="C217" s="3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</row>
    <row r="218" spans="1:26">
      <c r="A218" s="3"/>
      <c r="B218" s="3"/>
      <c r="C218" s="3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</row>
    <row r="219" spans="1:26">
      <c r="A219" s="3"/>
      <c r="B219" s="3"/>
      <c r="C219" s="3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</row>
    <row r="220" spans="1:26">
      <c r="A220" s="3"/>
      <c r="B220" s="3"/>
      <c r="C220" s="3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</row>
    <row r="221" spans="1:26">
      <c r="A221" s="3"/>
      <c r="B221" s="3"/>
      <c r="C221" s="3"/>
      <c r="D221" s="3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</row>
    <row r="222" spans="1:26">
      <c r="A222" s="3"/>
      <c r="B222" s="3"/>
      <c r="C222" s="3"/>
      <c r="D222" s="3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</row>
    <row r="223" spans="1:26">
      <c r="A223" s="3"/>
      <c r="B223" s="3"/>
      <c r="C223" s="3"/>
      <c r="D223" s="3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</row>
    <row r="224" spans="1:26">
      <c r="A224" s="3"/>
      <c r="B224" s="3"/>
      <c r="C224" s="3"/>
      <c r="D224" s="3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</row>
    <row r="225" spans="1:26">
      <c r="A225" s="3"/>
      <c r="B225" s="3"/>
      <c r="C225" s="3"/>
      <c r="D225" s="3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</row>
    <row r="226" spans="1:26">
      <c r="A226" s="3"/>
      <c r="B226" s="3"/>
      <c r="C226" s="3"/>
      <c r="D226" s="3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</row>
    <row r="227" spans="1:26">
      <c r="A227" s="3"/>
      <c r="B227" s="3"/>
      <c r="C227" s="3"/>
      <c r="D227" s="3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</row>
    <row r="228" spans="1:26">
      <c r="A228" s="3"/>
      <c r="B228" s="3"/>
      <c r="C228" s="3"/>
      <c r="D228" s="3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</row>
    <row r="229" spans="1:26">
      <c r="A229" s="3"/>
      <c r="B229" s="3"/>
      <c r="C229" s="3"/>
      <c r="D229" s="3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</row>
    <row r="230" spans="1:26">
      <c r="A230" s="3"/>
      <c r="B230" s="3"/>
      <c r="C230" s="3"/>
      <c r="D230" s="3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</row>
    <row r="231" spans="1:26">
      <c r="A231" s="3"/>
      <c r="B231" s="3"/>
      <c r="C231" s="3"/>
      <c r="D231" s="3"/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</row>
    <row r="232" spans="1:26">
      <c r="A232" s="3"/>
      <c r="B232" s="3"/>
      <c r="C232" s="3"/>
      <c r="D232" s="3"/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</row>
    <row r="233" spans="1:26">
      <c r="A233" s="3"/>
      <c r="B233" s="3"/>
      <c r="C233" s="3"/>
      <c r="D233" s="3"/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</row>
    <row r="234" spans="1:26">
      <c r="A234" s="3"/>
      <c r="B234" s="3"/>
      <c r="C234" s="3"/>
      <c r="D234" s="3"/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</row>
    <row r="235" spans="1:26">
      <c r="A235" s="3"/>
      <c r="B235" s="3"/>
      <c r="C235" s="3"/>
      <c r="D235" s="3"/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</row>
    <row r="236" spans="1:26">
      <c r="A236" s="3"/>
      <c r="B236" s="3"/>
      <c r="C236" s="3"/>
      <c r="D236" s="3"/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</row>
    <row r="237" spans="1:26">
      <c r="A237" s="3"/>
      <c r="B237" s="3"/>
      <c r="C237" s="3"/>
      <c r="D237" s="3"/>
      <c r="E237" s="3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</row>
    <row r="238" spans="1:26">
      <c r="A238" s="3"/>
      <c r="B238" s="3"/>
      <c r="C238" s="3"/>
      <c r="D238" s="3"/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</row>
    <row r="239" spans="1:26">
      <c r="A239" s="3"/>
      <c r="B239" s="3"/>
      <c r="C239" s="3"/>
      <c r="D239" s="3"/>
      <c r="E239" s="3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</row>
    <row r="240" spans="1:26">
      <c r="A240" s="3"/>
      <c r="B240" s="3"/>
      <c r="C240" s="3"/>
      <c r="D240" s="3"/>
      <c r="E240" s="3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</row>
    <row r="241" spans="1:26">
      <c r="A241" s="3"/>
      <c r="B241" s="3"/>
      <c r="C241" s="3"/>
      <c r="D241" s="3"/>
      <c r="E241" s="3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</row>
    <row r="242" spans="1:26">
      <c r="A242" s="3"/>
      <c r="B242" s="3"/>
      <c r="C242" s="3"/>
      <c r="D242" s="3"/>
      <c r="E242" s="3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</row>
    <row r="243" spans="1:26">
      <c r="A243" s="3"/>
      <c r="B243" s="3"/>
      <c r="C243" s="3"/>
      <c r="D243" s="3"/>
      <c r="E243" s="3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</row>
    <row r="244" spans="1:26">
      <c r="A244" s="3"/>
      <c r="B244" s="3"/>
      <c r="C244" s="3"/>
      <c r="D244" s="3"/>
      <c r="E244" s="3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</row>
    <row r="245" spans="1:26">
      <c r="A245" s="3"/>
      <c r="B245" s="3"/>
      <c r="C245" s="3"/>
      <c r="D245" s="3"/>
      <c r="E245" s="3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</row>
    <row r="246" spans="1:26">
      <c r="A246" s="3"/>
      <c r="B246" s="3"/>
      <c r="C246" s="3"/>
      <c r="D246" s="3"/>
      <c r="E246" s="3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</row>
    <row r="247" spans="1:26">
      <c r="A247" s="3"/>
      <c r="B247" s="3"/>
      <c r="C247" s="3"/>
      <c r="D247" s="3"/>
      <c r="E247" s="3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</row>
    <row r="248" spans="1:26">
      <c r="A248" s="3"/>
      <c r="B248" s="3"/>
      <c r="C248" s="3"/>
      <c r="D248" s="3"/>
      <c r="E248" s="3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</row>
    <row r="249" spans="1:26">
      <c r="A249" s="3"/>
      <c r="B249" s="3"/>
      <c r="C249" s="3"/>
      <c r="D249" s="3"/>
      <c r="E249" s="3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</row>
    <row r="250" spans="1:26">
      <c r="A250" s="3"/>
      <c r="B250" s="3"/>
      <c r="C250" s="3"/>
      <c r="D250" s="3"/>
      <c r="E250" s="3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</row>
    <row r="251" spans="1:26">
      <c r="A251" s="3"/>
      <c r="B251" s="3"/>
      <c r="C251" s="3"/>
      <c r="D251" s="3"/>
      <c r="E251" s="3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</row>
    <row r="252" spans="1:26">
      <c r="A252" s="3"/>
      <c r="B252" s="3"/>
      <c r="C252" s="3"/>
      <c r="D252" s="3"/>
      <c r="E252" s="3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</row>
    <row r="253" spans="1:26">
      <c r="A253" s="3"/>
      <c r="B253" s="3"/>
      <c r="C253" s="3"/>
      <c r="D253" s="3"/>
      <c r="E253" s="3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</row>
    <row r="254" spans="1:26">
      <c r="A254" s="3"/>
      <c r="B254" s="3"/>
      <c r="C254" s="3"/>
      <c r="D254" s="3"/>
      <c r="E254" s="3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</row>
    <row r="255" spans="1:26">
      <c r="A255" s="3"/>
      <c r="B255" s="3"/>
      <c r="C255" s="3"/>
      <c r="D255" s="3"/>
      <c r="E255" s="3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</row>
    <row r="256" spans="1:26">
      <c r="A256" s="3"/>
      <c r="B256" s="3"/>
      <c r="C256" s="3"/>
      <c r="D256" s="3"/>
      <c r="E256" s="3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</row>
    <row r="257" spans="1:26">
      <c r="A257" s="3"/>
      <c r="B257" s="3"/>
      <c r="C257" s="3"/>
      <c r="D257" s="3"/>
      <c r="E257" s="3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</row>
    <row r="258" spans="1:26">
      <c r="A258" s="3"/>
      <c r="B258" s="3"/>
      <c r="C258" s="3"/>
      <c r="D258" s="3"/>
      <c r="E258" s="3"/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</row>
    <row r="259" spans="1:26">
      <c r="A259" s="3"/>
      <c r="B259" s="3"/>
      <c r="C259" s="3"/>
      <c r="D259" s="3"/>
      <c r="E259" s="3"/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</row>
    <row r="260" spans="1:26">
      <c r="A260" s="3"/>
      <c r="B260" s="3"/>
      <c r="C260" s="3"/>
      <c r="D260" s="3"/>
      <c r="E260" s="3"/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</row>
    <row r="261" spans="1:26">
      <c r="A261" s="3"/>
      <c r="B261" s="3"/>
      <c r="C261" s="3"/>
      <c r="D261" s="3"/>
      <c r="E261" s="3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</row>
    <row r="262" spans="1:26">
      <c r="A262" s="3"/>
      <c r="B262" s="3"/>
      <c r="C262" s="3"/>
      <c r="D262" s="3"/>
      <c r="E262" s="3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</row>
    <row r="263" spans="1:26">
      <c r="A263" s="3"/>
      <c r="B263" s="3"/>
      <c r="C263" s="3"/>
      <c r="D263" s="3"/>
      <c r="E263" s="3"/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</row>
    <row r="264" spans="1:26">
      <c r="A264" s="3"/>
      <c r="B264" s="3"/>
      <c r="C264" s="3"/>
      <c r="D264" s="3"/>
      <c r="E264" s="3"/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</row>
    <row r="265" spans="1:26">
      <c r="A265" s="3"/>
      <c r="B265" s="3"/>
      <c r="C265" s="3"/>
      <c r="D265" s="3"/>
      <c r="E265" s="3"/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</row>
    <row r="266" spans="1:26">
      <c r="A266" s="3"/>
      <c r="B266" s="3"/>
      <c r="C266" s="3"/>
      <c r="D266" s="3"/>
      <c r="E266" s="3"/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</row>
    <row r="267" spans="1:26">
      <c r="A267" s="3"/>
      <c r="B267" s="3"/>
      <c r="C267" s="3"/>
      <c r="D267" s="3"/>
      <c r="E267" s="3"/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</row>
    <row r="268" spans="1:26">
      <c r="A268" s="3"/>
      <c r="B268" s="3"/>
      <c r="C268" s="3"/>
      <c r="D268" s="3"/>
      <c r="E268" s="3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</row>
    <row r="269" spans="1:26">
      <c r="A269" s="3"/>
      <c r="B269" s="3"/>
      <c r="C269" s="3"/>
      <c r="D269" s="3"/>
      <c r="E269" s="3"/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</row>
    <row r="270" spans="1:26">
      <c r="A270" s="3"/>
      <c r="B270" s="3"/>
      <c r="C270" s="3"/>
      <c r="D270" s="3"/>
      <c r="E270" s="3"/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</row>
    <row r="271" spans="1:26">
      <c r="A271" s="3"/>
      <c r="B271" s="3"/>
      <c r="C271" s="3"/>
      <c r="D271" s="3"/>
      <c r="E271" s="3"/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</row>
    <row r="272" spans="1:26">
      <c r="A272" s="3"/>
      <c r="B272" s="3"/>
      <c r="C272" s="3"/>
      <c r="D272" s="3"/>
      <c r="E272" s="3"/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</row>
    <row r="273" spans="1:26">
      <c r="A273" s="3"/>
      <c r="B273" s="3"/>
      <c r="C273" s="3"/>
      <c r="D273" s="3"/>
      <c r="E273" s="3"/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</row>
    <row r="274" spans="1:26">
      <c r="A274" s="3"/>
      <c r="B274" s="3"/>
      <c r="C274" s="3"/>
      <c r="D274" s="3"/>
      <c r="E274" s="3"/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</row>
    <row r="275" spans="1:26">
      <c r="A275" s="3"/>
      <c r="B275" s="3"/>
      <c r="C275" s="3"/>
      <c r="D275" s="3"/>
      <c r="E275" s="3"/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</row>
    <row r="276" spans="1:26">
      <c r="A276" s="3"/>
      <c r="B276" s="3"/>
      <c r="C276" s="3"/>
      <c r="D276" s="3"/>
      <c r="E276" s="3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</row>
    <row r="277" spans="1:26">
      <c r="A277" s="3"/>
      <c r="B277" s="3"/>
      <c r="C277" s="3"/>
      <c r="D277" s="3"/>
      <c r="E277" s="3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</row>
    <row r="278" spans="1:26">
      <c r="A278" s="3"/>
      <c r="B278" s="3"/>
      <c r="C278" s="3"/>
      <c r="D278" s="3"/>
      <c r="E278" s="3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</row>
    <row r="279" spans="1:26">
      <c r="A279" s="3"/>
      <c r="B279" s="3"/>
      <c r="C279" s="3"/>
      <c r="D279" s="3"/>
      <c r="E279" s="3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</row>
    <row r="280" spans="1:26">
      <c r="A280" s="3"/>
      <c r="B280" s="3"/>
      <c r="C280" s="3"/>
      <c r="D280" s="3"/>
      <c r="E280" s="3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</row>
    <row r="281" spans="1:26">
      <c r="A281" s="3"/>
      <c r="B281" s="3"/>
      <c r="C281" s="3"/>
      <c r="D281" s="3"/>
      <c r="E281" s="3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</row>
    <row r="282" spans="1:26">
      <c r="A282" s="3"/>
      <c r="B282" s="3"/>
      <c r="C282" s="3"/>
      <c r="D282" s="3"/>
      <c r="E282" s="3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</row>
    <row r="283" spans="1:26">
      <c r="A283" s="3"/>
      <c r="B283" s="3"/>
      <c r="C283" s="3"/>
      <c r="D283" s="3"/>
      <c r="E283" s="3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</row>
    <row r="284" spans="1:26">
      <c r="A284" s="3"/>
      <c r="B284" s="3"/>
      <c r="C284" s="3"/>
      <c r="D284" s="3"/>
      <c r="E284" s="3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</row>
    <row r="285" spans="1:26">
      <c r="A285" s="3"/>
      <c r="B285" s="3"/>
      <c r="C285" s="3"/>
      <c r="D285" s="3"/>
      <c r="E285" s="3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</row>
    <row r="286" spans="1:26">
      <c r="A286" s="3"/>
      <c r="B286" s="3"/>
      <c r="C286" s="3"/>
      <c r="D286" s="3"/>
      <c r="E286" s="3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</row>
    <row r="287" spans="1:26">
      <c r="A287" s="3"/>
      <c r="B287" s="3"/>
      <c r="C287" s="3"/>
      <c r="D287" s="3"/>
      <c r="E287" s="3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</row>
    <row r="288" spans="1:26">
      <c r="A288" s="3"/>
      <c r="B288" s="3"/>
      <c r="C288" s="3"/>
      <c r="D288" s="3"/>
      <c r="E288" s="3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</row>
    <row r="289" spans="1:26">
      <c r="A289" s="3"/>
      <c r="B289" s="3"/>
      <c r="C289" s="3"/>
      <c r="D289" s="3"/>
      <c r="E289" s="3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</row>
    <row r="290" spans="1:26">
      <c r="A290" s="3"/>
      <c r="B290" s="3"/>
      <c r="C290" s="3"/>
      <c r="D290" s="3"/>
      <c r="E290" s="3"/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</row>
    <row r="291" spans="1:26">
      <c r="A291" s="3"/>
      <c r="B291" s="3"/>
      <c r="C291" s="3"/>
      <c r="D291" s="3"/>
      <c r="E291" s="3"/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</row>
    <row r="292" spans="1:26">
      <c r="A292" s="3"/>
      <c r="B292" s="3"/>
      <c r="C292" s="3"/>
      <c r="D292" s="3"/>
      <c r="E292" s="3"/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</row>
    <row r="293" spans="1:26">
      <c r="A293" s="3"/>
      <c r="B293" s="3"/>
      <c r="C293" s="3"/>
      <c r="D293" s="3"/>
      <c r="E293" s="3"/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</row>
    <row r="294" spans="1:26">
      <c r="A294" s="3"/>
      <c r="B294" s="3"/>
      <c r="C294" s="3"/>
      <c r="D294" s="3"/>
      <c r="E294" s="3"/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</row>
    <row r="295" spans="1:26">
      <c r="A295" s="3"/>
      <c r="B295" s="3"/>
      <c r="C295" s="3"/>
      <c r="D295" s="3"/>
      <c r="E295" s="3"/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</row>
    <row r="296" spans="1:26">
      <c r="A296" s="3"/>
      <c r="B296" s="3"/>
      <c r="C296" s="3"/>
      <c r="D296" s="3"/>
      <c r="E296" s="3"/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</row>
    <row r="297" spans="1:26">
      <c r="A297" s="3"/>
      <c r="B297" s="3"/>
      <c r="C297" s="3"/>
      <c r="D297" s="3"/>
      <c r="E297" s="3"/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</row>
    <row r="298" spans="1:26">
      <c r="A298" s="3"/>
      <c r="B298" s="3"/>
      <c r="C298" s="3"/>
      <c r="D298" s="3"/>
      <c r="E298" s="3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</row>
    <row r="299" spans="1:26">
      <c r="A299" s="3"/>
      <c r="B299" s="3"/>
      <c r="C299" s="3"/>
      <c r="D299" s="3"/>
      <c r="E299" s="3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</row>
    <row r="300" spans="1:26">
      <c r="A300" s="3"/>
      <c r="B300" s="3"/>
      <c r="C300" s="3"/>
      <c r="D300" s="3"/>
      <c r="E300" s="3"/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</row>
    <row r="301" spans="1:26">
      <c r="A301" s="3"/>
      <c r="B301" s="3"/>
      <c r="C301" s="3"/>
      <c r="D301" s="3"/>
      <c r="E301" s="3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</row>
    <row r="302" spans="1:26">
      <c r="A302" s="3"/>
      <c r="B302" s="3"/>
      <c r="C302" s="3"/>
      <c r="D302" s="3"/>
      <c r="E302" s="3"/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</row>
    <row r="303" spans="1:26">
      <c r="A303" s="3"/>
      <c r="B303" s="3"/>
      <c r="C303" s="3"/>
      <c r="D303" s="3"/>
      <c r="E303" s="3"/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</row>
    <row r="304" spans="1:26">
      <c r="A304" s="3"/>
      <c r="B304" s="3"/>
      <c r="C304" s="3"/>
      <c r="D304" s="3"/>
      <c r="E304" s="3"/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</row>
    <row r="305" spans="1:26">
      <c r="A305" s="3"/>
      <c r="B305" s="3"/>
      <c r="C305" s="3"/>
      <c r="D305" s="3"/>
      <c r="E305" s="3"/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</row>
    <row r="306" spans="1:26">
      <c r="A306" s="3"/>
      <c r="B306" s="3"/>
      <c r="C306" s="3"/>
      <c r="D306" s="3"/>
      <c r="E306" s="3"/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</row>
    <row r="307" spans="1:26">
      <c r="A307" s="3"/>
      <c r="B307" s="3"/>
      <c r="C307" s="3"/>
      <c r="D307" s="3"/>
      <c r="E307" s="3"/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</row>
    <row r="308" spans="1:26">
      <c r="A308" s="3"/>
      <c r="B308" s="3"/>
      <c r="C308" s="3"/>
      <c r="D308" s="3"/>
      <c r="E308" s="3"/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</row>
    <row r="309" spans="1:26">
      <c r="A309" s="3"/>
      <c r="B309" s="3"/>
      <c r="C309" s="3"/>
      <c r="D309" s="3"/>
      <c r="E309" s="3"/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</row>
    <row r="310" spans="1:26">
      <c r="A310" s="3"/>
      <c r="B310" s="3"/>
      <c r="C310" s="3"/>
      <c r="D310" s="3"/>
      <c r="E310" s="3"/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</row>
    <row r="311" spans="1:26">
      <c r="A311" s="3"/>
      <c r="B311" s="3"/>
      <c r="C311" s="3"/>
      <c r="D311" s="3"/>
      <c r="E311" s="3"/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</row>
    <row r="312" spans="1:26">
      <c r="A312" s="3"/>
      <c r="B312" s="3"/>
      <c r="C312" s="3"/>
      <c r="D312" s="3"/>
      <c r="E312" s="3"/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</row>
    <row r="313" spans="1:26">
      <c r="A313" s="3"/>
      <c r="B313" s="3"/>
      <c r="C313" s="3"/>
      <c r="D313" s="3"/>
      <c r="E313" s="3"/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</row>
    <row r="314" spans="1:26">
      <c r="A314" s="3"/>
      <c r="B314" s="3"/>
      <c r="C314" s="3"/>
      <c r="D314" s="3"/>
      <c r="E314" s="3"/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</row>
    <row r="315" spans="1:26">
      <c r="A315" s="3"/>
      <c r="B315" s="3"/>
      <c r="C315" s="3"/>
      <c r="D315" s="3"/>
      <c r="E315" s="3"/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</row>
    <row r="316" spans="1:26">
      <c r="A316" s="3"/>
      <c r="B316" s="3"/>
      <c r="C316" s="3"/>
      <c r="D316" s="3"/>
      <c r="E316" s="3"/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</row>
    <row r="317" spans="1:26">
      <c r="A317" s="3"/>
      <c r="B317" s="3"/>
      <c r="C317" s="3"/>
      <c r="D317" s="3"/>
      <c r="E317" s="3"/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</row>
    <row r="318" spans="1:26">
      <c r="A318" s="3"/>
      <c r="B318" s="3"/>
      <c r="C318" s="3"/>
      <c r="D318" s="3"/>
      <c r="E318" s="3"/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</row>
    <row r="319" spans="1:26">
      <c r="A319" s="3"/>
      <c r="B319" s="3"/>
      <c r="C319" s="3"/>
      <c r="D319" s="3"/>
      <c r="E319" s="3"/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</row>
    <row r="320" spans="1:26">
      <c r="A320" s="3"/>
      <c r="B320" s="3"/>
      <c r="C320" s="3"/>
      <c r="D320" s="3"/>
      <c r="E320" s="3"/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</row>
    <row r="321" spans="1:26">
      <c r="A321" s="3"/>
      <c r="B321" s="3"/>
      <c r="C321" s="3"/>
      <c r="D321" s="3"/>
      <c r="E321" s="3"/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</row>
    <row r="322" spans="1:26">
      <c r="A322" s="3"/>
      <c r="B322" s="3"/>
      <c r="C322" s="3"/>
      <c r="D322" s="3"/>
      <c r="E322" s="3"/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</row>
    <row r="323" spans="1:26">
      <c r="A323" s="3"/>
      <c r="B323" s="3"/>
      <c r="C323" s="3"/>
      <c r="D323" s="3"/>
      <c r="E323" s="3"/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</row>
    <row r="324" spans="1:26">
      <c r="A324" s="3"/>
      <c r="B324" s="3"/>
      <c r="C324" s="3"/>
      <c r="D324" s="3"/>
      <c r="E324" s="3"/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</row>
    <row r="325" spans="1:26">
      <c r="A325" s="3"/>
      <c r="B325" s="3"/>
      <c r="C325" s="3"/>
      <c r="D325" s="3"/>
      <c r="E325" s="3"/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</row>
    <row r="326" spans="1:26">
      <c r="A326" s="3"/>
      <c r="B326" s="3"/>
      <c r="C326" s="3"/>
      <c r="D326" s="3"/>
      <c r="E326" s="3"/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</row>
    <row r="327" spans="1:26">
      <c r="A327" s="3"/>
      <c r="B327" s="3"/>
      <c r="C327" s="3"/>
      <c r="D327" s="3"/>
      <c r="E327" s="3"/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</row>
    <row r="328" spans="1:26">
      <c r="A328" s="3"/>
      <c r="B328" s="3"/>
      <c r="C328" s="3"/>
      <c r="D328" s="3"/>
      <c r="E328" s="3"/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</row>
    <row r="329" spans="1:26">
      <c r="A329" s="3"/>
      <c r="B329" s="3"/>
      <c r="C329" s="3"/>
      <c r="D329" s="3"/>
      <c r="E329" s="3"/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</row>
    <row r="330" spans="1:26">
      <c r="A330" s="3"/>
      <c r="B330" s="3"/>
      <c r="C330" s="3"/>
      <c r="D330" s="3"/>
      <c r="E330" s="3"/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</row>
    <row r="331" spans="1:26">
      <c r="A331" s="3"/>
      <c r="B331" s="3"/>
      <c r="C331" s="3"/>
      <c r="D331" s="3"/>
      <c r="E331" s="3"/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</row>
    <row r="332" spans="1:26">
      <c r="A332" s="3"/>
      <c r="B332" s="3"/>
      <c r="C332" s="3"/>
      <c r="D332" s="3"/>
      <c r="E332" s="3"/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</row>
    <row r="333" spans="1:26">
      <c r="A333" s="3"/>
      <c r="B333" s="3"/>
      <c r="C333" s="3"/>
      <c r="D333" s="3"/>
      <c r="E333" s="3"/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</row>
    <row r="334" spans="1:26">
      <c r="A334" s="3"/>
      <c r="B334" s="3"/>
      <c r="C334" s="3"/>
      <c r="D334" s="3"/>
      <c r="E334" s="3"/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</row>
    <row r="335" spans="1:26">
      <c r="A335" s="3"/>
      <c r="B335" s="3"/>
      <c r="C335" s="3"/>
      <c r="D335" s="3"/>
      <c r="E335" s="3"/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</row>
    <row r="336" spans="1:26">
      <c r="A336" s="3"/>
      <c r="B336" s="3"/>
      <c r="C336" s="3"/>
      <c r="D336" s="3"/>
      <c r="E336" s="3"/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</row>
    <row r="337" spans="1:26">
      <c r="A337" s="3"/>
      <c r="B337" s="3"/>
      <c r="C337" s="3"/>
      <c r="D337" s="3"/>
      <c r="E337" s="3"/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</row>
    <row r="338" spans="1:26">
      <c r="A338" s="3"/>
      <c r="B338" s="3"/>
      <c r="C338" s="3"/>
      <c r="D338" s="3"/>
      <c r="E338" s="3"/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</row>
    <row r="339" spans="1:26">
      <c r="A339" s="3"/>
      <c r="B339" s="3"/>
      <c r="C339" s="3"/>
      <c r="D339" s="3"/>
      <c r="E339" s="3"/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</row>
    <row r="340" spans="1:26">
      <c r="A340" s="3"/>
      <c r="B340" s="3"/>
      <c r="C340" s="3"/>
      <c r="D340" s="3"/>
      <c r="E340" s="3"/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</row>
    <row r="341" spans="1:26">
      <c r="A341" s="3"/>
      <c r="B341" s="3"/>
      <c r="C341" s="3"/>
      <c r="D341" s="3"/>
      <c r="E341" s="3"/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</row>
    <row r="342" spans="1:26">
      <c r="A342" s="3"/>
      <c r="B342" s="3"/>
      <c r="C342" s="3"/>
      <c r="D342" s="3"/>
      <c r="E342" s="3"/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</row>
    <row r="343" spans="1:26">
      <c r="A343" s="3"/>
      <c r="B343" s="3"/>
      <c r="C343" s="3"/>
      <c r="D343" s="3"/>
      <c r="E343" s="3"/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</row>
    <row r="344" spans="1:26">
      <c r="A344" s="3"/>
      <c r="B344" s="3"/>
      <c r="C344" s="3"/>
      <c r="D344" s="3"/>
      <c r="E344" s="3"/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</row>
    <row r="345" spans="1:26">
      <c r="A345" s="3"/>
      <c r="B345" s="3"/>
      <c r="C345" s="3"/>
      <c r="D345" s="3"/>
      <c r="E345" s="3"/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</row>
    <row r="346" spans="1:26">
      <c r="A346" s="3"/>
      <c r="B346" s="3"/>
      <c r="C346" s="3"/>
      <c r="D346" s="3"/>
      <c r="E346" s="3"/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</row>
    <row r="347" spans="1:26">
      <c r="A347" s="3"/>
      <c r="B347" s="3"/>
      <c r="C347" s="3"/>
      <c r="D347" s="3"/>
      <c r="E347" s="3"/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</row>
    <row r="348" spans="1:26">
      <c r="A348" s="3"/>
      <c r="B348" s="3"/>
      <c r="C348" s="3"/>
      <c r="D348" s="3"/>
      <c r="E348" s="3"/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</row>
    <row r="349" spans="1:26">
      <c r="A349" s="3"/>
      <c r="B349" s="3"/>
      <c r="C349" s="3"/>
      <c r="D349" s="3"/>
      <c r="E349" s="3"/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</row>
    <row r="350" spans="1:26">
      <c r="A350" s="3"/>
      <c r="B350" s="3"/>
      <c r="C350" s="3"/>
      <c r="D350" s="3"/>
      <c r="E350" s="3"/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</row>
    <row r="351" spans="1:26">
      <c r="A351" s="3"/>
      <c r="B351" s="3"/>
      <c r="C351" s="3"/>
      <c r="D351" s="3"/>
      <c r="E351" s="3"/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</row>
    <row r="352" spans="1:26">
      <c r="A352" s="3"/>
      <c r="B352" s="3"/>
      <c r="C352" s="3"/>
      <c r="D352" s="3"/>
      <c r="E352" s="3"/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</row>
    <row r="353" spans="1:26">
      <c r="A353" s="3"/>
      <c r="B353" s="3"/>
      <c r="C353" s="3"/>
      <c r="D353" s="3"/>
      <c r="E353" s="3"/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</row>
    <row r="354" spans="1:26">
      <c r="A354" s="3"/>
      <c r="B354" s="3"/>
      <c r="C354" s="3"/>
      <c r="D354" s="3"/>
      <c r="E354" s="3"/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</row>
    <row r="355" spans="1:26">
      <c r="A355" s="3"/>
      <c r="B355" s="3"/>
      <c r="C355" s="3"/>
      <c r="D355" s="3"/>
      <c r="E355" s="3"/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</row>
    <row r="356" spans="1:26">
      <c r="A356" s="3"/>
      <c r="B356" s="3"/>
      <c r="C356" s="3"/>
      <c r="D356" s="3"/>
      <c r="E356" s="3"/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</row>
    <row r="357" spans="1:26">
      <c r="A357" s="3"/>
      <c r="B357" s="3"/>
      <c r="C357" s="3"/>
      <c r="D357" s="3"/>
      <c r="E357" s="3"/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</row>
    <row r="358" spans="1:26">
      <c r="A358" s="3"/>
      <c r="B358" s="3"/>
      <c r="C358" s="3"/>
      <c r="D358" s="3"/>
      <c r="E358" s="3"/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</row>
    <row r="359" spans="1:26">
      <c r="A359" s="3"/>
      <c r="B359" s="3"/>
      <c r="C359" s="3"/>
      <c r="D359" s="3"/>
      <c r="E359" s="3"/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</row>
    <row r="360" spans="1:26">
      <c r="A360" s="3"/>
      <c r="B360" s="3"/>
      <c r="C360" s="3"/>
      <c r="D360" s="3"/>
      <c r="E360" s="3"/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</row>
    <row r="361" spans="1:26">
      <c r="A361" s="3"/>
      <c r="B361" s="3"/>
      <c r="C361" s="3"/>
      <c r="D361" s="3"/>
      <c r="E361" s="3"/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</row>
    <row r="362" spans="1:26">
      <c r="A362" s="3"/>
      <c r="B362" s="3"/>
      <c r="C362" s="3"/>
      <c r="D362" s="3"/>
      <c r="E362" s="3"/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</row>
    <row r="363" spans="1:26">
      <c r="A363" s="3"/>
      <c r="B363" s="3"/>
      <c r="C363" s="3"/>
      <c r="D363" s="3"/>
      <c r="E363" s="3"/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</row>
    <row r="364" spans="1:26">
      <c r="A364" s="3"/>
      <c r="B364" s="3"/>
      <c r="C364" s="3"/>
      <c r="D364" s="3"/>
      <c r="E364" s="3"/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</row>
    <row r="365" spans="1:26">
      <c r="A365" s="3"/>
      <c r="B365" s="3"/>
      <c r="C365" s="3"/>
      <c r="D365" s="3"/>
      <c r="E365" s="3"/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</row>
    <row r="366" spans="1:26">
      <c r="A366" s="3"/>
      <c r="B366" s="3"/>
      <c r="C366" s="3"/>
      <c r="D366" s="3"/>
      <c r="E366" s="3"/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</row>
    <row r="367" spans="1:26">
      <c r="A367" s="3"/>
      <c r="B367" s="3"/>
      <c r="C367" s="3"/>
      <c r="D367" s="3"/>
      <c r="E367" s="3"/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</row>
    <row r="368" spans="1:26">
      <c r="A368" s="3"/>
      <c r="B368" s="3"/>
      <c r="C368" s="3"/>
      <c r="D368" s="3"/>
      <c r="E368" s="3"/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</row>
    <row r="369" spans="1:26">
      <c r="A369" s="3"/>
      <c r="B369" s="3"/>
      <c r="C369" s="3"/>
      <c r="D369" s="3"/>
      <c r="E369" s="3"/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</row>
    <row r="370" spans="1:26">
      <c r="A370" s="3"/>
      <c r="B370" s="3"/>
      <c r="C370" s="3"/>
      <c r="D370" s="3"/>
      <c r="E370" s="3"/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</row>
    <row r="371" spans="1:26">
      <c r="A371" s="3"/>
      <c r="B371" s="3"/>
      <c r="C371" s="3"/>
      <c r="D371" s="3"/>
      <c r="E371" s="3"/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</row>
    <row r="372" spans="1:26">
      <c r="A372" s="3"/>
      <c r="B372" s="3"/>
      <c r="C372" s="3"/>
      <c r="D372" s="3"/>
      <c r="E372" s="3"/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</row>
    <row r="373" spans="1:26">
      <c r="A373" s="3"/>
      <c r="B373" s="3"/>
      <c r="C373" s="3"/>
      <c r="D373" s="3"/>
      <c r="E373" s="3"/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</row>
    <row r="374" spans="1:26">
      <c r="A374" s="3"/>
      <c r="B374" s="3"/>
      <c r="C374" s="3"/>
      <c r="D374" s="3"/>
      <c r="E374" s="3"/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</row>
    <row r="375" spans="1:26">
      <c r="A375" s="3"/>
      <c r="B375" s="3"/>
      <c r="C375" s="3"/>
      <c r="D375" s="3"/>
      <c r="E375" s="3"/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</row>
    <row r="376" spans="1:26">
      <c r="A376" s="3"/>
      <c r="B376" s="3"/>
      <c r="C376" s="3"/>
      <c r="D376" s="3"/>
      <c r="E376" s="3"/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</row>
    <row r="377" spans="1:26">
      <c r="A377" s="3"/>
      <c r="B377" s="3"/>
      <c r="C377" s="3"/>
      <c r="D377" s="3"/>
      <c r="E377" s="3"/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</row>
    <row r="378" spans="1:26">
      <c r="A378" s="3"/>
      <c r="B378" s="3"/>
      <c r="C378" s="3"/>
      <c r="D378" s="3"/>
      <c r="E378" s="3"/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</row>
    <row r="379" spans="1:26">
      <c r="A379" s="3"/>
      <c r="B379" s="3"/>
      <c r="C379" s="3"/>
      <c r="D379" s="3"/>
      <c r="E379" s="3"/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</row>
    <row r="380" spans="1:26">
      <c r="A380" s="3"/>
      <c r="B380" s="3"/>
      <c r="C380" s="3"/>
      <c r="D380" s="3"/>
      <c r="E380" s="3"/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</row>
    <row r="381" spans="1:26">
      <c r="A381" s="3"/>
      <c r="B381" s="3"/>
      <c r="C381" s="3"/>
      <c r="D381" s="3"/>
      <c r="E381" s="3"/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</row>
    <row r="382" spans="1:26">
      <c r="A382" s="3"/>
      <c r="B382" s="3"/>
      <c r="C382" s="3"/>
      <c r="D382" s="3"/>
      <c r="E382" s="3"/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</row>
    <row r="383" spans="1:26">
      <c r="A383" s="3"/>
      <c r="B383" s="3"/>
      <c r="C383" s="3"/>
      <c r="D383" s="3"/>
      <c r="E383" s="3"/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</row>
    <row r="384" spans="1:26">
      <c r="A384" s="3"/>
      <c r="B384" s="3"/>
      <c r="C384" s="3"/>
      <c r="D384" s="3"/>
      <c r="E384" s="3"/>
      <c r="F384" s="3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</row>
    <row r="385" spans="1:26">
      <c r="A385" s="3"/>
      <c r="B385" s="3"/>
      <c r="C385" s="3"/>
      <c r="D385" s="3"/>
      <c r="E385" s="3"/>
      <c r="F385" s="3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</row>
    <row r="386" spans="1:26">
      <c r="A386" s="3"/>
      <c r="B386" s="3"/>
      <c r="C386" s="3"/>
      <c r="D386" s="3"/>
      <c r="E386" s="3"/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</row>
    <row r="387" spans="1:26">
      <c r="A387" s="3"/>
      <c r="B387" s="3"/>
      <c r="C387" s="3"/>
      <c r="D387" s="3"/>
      <c r="E387" s="3"/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</row>
    <row r="388" spans="1:26">
      <c r="A388" s="3"/>
      <c r="B388" s="3"/>
      <c r="C388" s="3"/>
      <c r="D388" s="3"/>
      <c r="E388" s="3"/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</row>
    <row r="389" spans="1:26">
      <c r="A389" s="3"/>
      <c r="B389" s="3"/>
      <c r="C389" s="3"/>
      <c r="D389" s="3"/>
      <c r="E389" s="3"/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</row>
    <row r="390" spans="1:26">
      <c r="A390" s="3"/>
      <c r="B390" s="3"/>
      <c r="C390" s="3"/>
      <c r="D390" s="3"/>
      <c r="E390" s="3"/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</row>
    <row r="391" spans="1:26">
      <c r="A391" s="3"/>
      <c r="B391" s="3"/>
      <c r="C391" s="3"/>
      <c r="D391" s="3"/>
      <c r="E391" s="3"/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</row>
    <row r="392" spans="1:26">
      <c r="A392" s="3"/>
      <c r="B392" s="3"/>
      <c r="C392" s="3"/>
      <c r="D392" s="3"/>
      <c r="E392" s="3"/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</row>
    <row r="393" spans="1:26">
      <c r="A393" s="3"/>
      <c r="B393" s="3"/>
      <c r="C393" s="3"/>
      <c r="D393" s="3"/>
      <c r="E393" s="3"/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</row>
    <row r="394" spans="1:26">
      <c r="A394" s="3"/>
      <c r="B394" s="3"/>
      <c r="C394" s="3"/>
      <c r="D394" s="3"/>
      <c r="E394" s="3"/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</row>
    <row r="395" spans="1:26">
      <c r="A395" s="3"/>
      <c r="B395" s="3"/>
      <c r="C395" s="3"/>
      <c r="D395" s="3"/>
      <c r="E395" s="3"/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</row>
    <row r="396" spans="1:26">
      <c r="A396" s="3"/>
      <c r="B396" s="3"/>
      <c r="C396" s="3"/>
      <c r="D396" s="3"/>
      <c r="E396" s="3"/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</row>
    <row r="397" spans="1:26">
      <c r="A397" s="3"/>
      <c r="B397" s="3"/>
      <c r="C397" s="3"/>
      <c r="D397" s="3"/>
      <c r="E397" s="3"/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</row>
    <row r="398" spans="1:26">
      <c r="A398" s="3"/>
      <c r="B398" s="3"/>
      <c r="C398" s="3"/>
      <c r="D398" s="3"/>
      <c r="E398" s="3"/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</row>
    <row r="399" spans="1:26">
      <c r="A399" s="3"/>
      <c r="B399" s="3"/>
      <c r="C399" s="3"/>
      <c r="D399" s="3"/>
      <c r="E399" s="3"/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</row>
    <row r="400" spans="1:26">
      <c r="A400" s="3"/>
      <c r="B400" s="3"/>
      <c r="C400" s="3"/>
      <c r="D400" s="3"/>
      <c r="E400" s="3"/>
      <c r="F400" s="3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</row>
    <row r="401" spans="1:26">
      <c r="A401" s="3"/>
      <c r="B401" s="3"/>
      <c r="C401" s="3"/>
      <c r="D401" s="3"/>
      <c r="E401" s="3"/>
      <c r="F401" s="3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</row>
    <row r="402" spans="1:26">
      <c r="A402" s="3"/>
      <c r="B402" s="3"/>
      <c r="C402" s="3"/>
      <c r="D402" s="3"/>
      <c r="E402" s="3"/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</row>
    <row r="403" spans="1:26">
      <c r="A403" s="3"/>
      <c r="B403" s="3"/>
      <c r="C403" s="3"/>
      <c r="D403" s="3"/>
      <c r="E403" s="3"/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</row>
    <row r="404" spans="1:26">
      <c r="A404" s="3"/>
      <c r="B404" s="3"/>
      <c r="C404" s="3"/>
      <c r="D404" s="3"/>
      <c r="E404" s="3"/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</row>
    <row r="405" spans="1:26">
      <c r="A405" s="3"/>
      <c r="B405" s="3"/>
      <c r="C405" s="3"/>
      <c r="D405" s="3"/>
      <c r="E405" s="3"/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</row>
    <row r="406" spans="1:26">
      <c r="A406" s="3"/>
      <c r="B406" s="3"/>
      <c r="C406" s="3"/>
      <c r="D406" s="3"/>
      <c r="E406" s="3"/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</row>
    <row r="407" spans="1:26">
      <c r="A407" s="3"/>
      <c r="B407" s="3"/>
      <c r="C407" s="3"/>
      <c r="D407" s="3"/>
      <c r="E407" s="3"/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</row>
    <row r="408" spans="1:26">
      <c r="A408" s="3"/>
      <c r="B408" s="3"/>
      <c r="C408" s="3"/>
      <c r="D408" s="3"/>
      <c r="E408" s="3"/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</row>
    <row r="409" spans="1:26">
      <c r="A409" s="3"/>
      <c r="B409" s="3"/>
      <c r="C409" s="3"/>
      <c r="D409" s="3"/>
      <c r="E409" s="3"/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</row>
    <row r="410" spans="1:26">
      <c r="A410" s="3"/>
      <c r="B410" s="3"/>
      <c r="C410" s="3"/>
      <c r="D410" s="3"/>
      <c r="E410" s="3"/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</row>
    <row r="411" spans="1:26">
      <c r="A411" s="3"/>
      <c r="B411" s="3"/>
      <c r="C411" s="3"/>
      <c r="D411" s="3"/>
      <c r="E411" s="3"/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</row>
    <row r="412" spans="1:26">
      <c r="A412" s="3"/>
      <c r="B412" s="3"/>
      <c r="C412" s="3"/>
      <c r="D412" s="3"/>
      <c r="E412" s="3"/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</row>
    <row r="413" spans="1:26">
      <c r="A413" s="3"/>
      <c r="B413" s="3"/>
      <c r="C413" s="3"/>
      <c r="D413" s="3"/>
      <c r="E413" s="3"/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</row>
    <row r="414" spans="1:26">
      <c r="A414" s="3"/>
      <c r="B414" s="3"/>
      <c r="C414" s="3"/>
      <c r="D414" s="3"/>
      <c r="E414" s="3"/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</row>
    <row r="415" spans="1:26">
      <c r="A415" s="3"/>
      <c r="B415" s="3"/>
      <c r="C415" s="3"/>
      <c r="D415" s="3"/>
      <c r="E415" s="3"/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</row>
    <row r="416" spans="1:26">
      <c r="A416" s="3"/>
      <c r="B416" s="3"/>
      <c r="C416" s="3"/>
      <c r="D416" s="3"/>
      <c r="E416" s="3"/>
      <c r="F416" s="3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</row>
    <row r="417" spans="1:26">
      <c r="A417" s="3"/>
      <c r="B417" s="3"/>
      <c r="C417" s="3"/>
      <c r="D417" s="3"/>
      <c r="E417" s="3"/>
      <c r="F417" s="3"/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</row>
    <row r="418" spans="1:26">
      <c r="A418" s="3"/>
      <c r="B418" s="3"/>
      <c r="C418" s="3"/>
      <c r="D418" s="3"/>
      <c r="E418" s="3"/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</row>
    <row r="419" spans="1:26">
      <c r="A419" s="3"/>
      <c r="B419" s="3"/>
      <c r="C419" s="3"/>
      <c r="D419" s="3"/>
      <c r="E419" s="3"/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</row>
    <row r="420" spans="1:26">
      <c r="A420" s="3"/>
      <c r="B420" s="3"/>
      <c r="C420" s="3"/>
      <c r="D420" s="3"/>
      <c r="E420" s="3"/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</row>
    <row r="421" spans="1:26">
      <c r="A421" s="3"/>
      <c r="B421" s="3"/>
      <c r="C421" s="3"/>
      <c r="D421" s="3"/>
      <c r="E421" s="3"/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</row>
    <row r="422" spans="1:26">
      <c r="A422" s="3"/>
      <c r="B422" s="3"/>
      <c r="C422" s="3"/>
      <c r="D422" s="3"/>
      <c r="E422" s="3"/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</row>
    <row r="423" spans="1:26">
      <c r="A423" s="3"/>
      <c r="B423" s="3"/>
      <c r="C423" s="3"/>
      <c r="D423" s="3"/>
      <c r="E423" s="3"/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</row>
    <row r="424" spans="1:26">
      <c r="A424" s="3"/>
      <c r="B424" s="3"/>
      <c r="C424" s="3"/>
      <c r="D424" s="3"/>
      <c r="E424" s="3"/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</row>
    <row r="425" spans="1:26">
      <c r="A425" s="3"/>
      <c r="B425" s="3"/>
      <c r="C425" s="3"/>
      <c r="D425" s="3"/>
      <c r="E425" s="3"/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</row>
    <row r="426" spans="1:26">
      <c r="A426" s="3"/>
      <c r="B426" s="3"/>
      <c r="C426" s="3"/>
      <c r="D426" s="3"/>
      <c r="E426" s="3"/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</row>
    <row r="427" spans="1:26">
      <c r="A427" s="3"/>
      <c r="B427" s="3"/>
      <c r="C427" s="3"/>
      <c r="D427" s="3"/>
      <c r="E427" s="3"/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</row>
    <row r="428" spans="1:26">
      <c r="A428" s="3"/>
      <c r="B428" s="3"/>
      <c r="C428" s="3"/>
      <c r="D428" s="3"/>
      <c r="E428" s="3"/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</row>
    <row r="429" spans="1:26">
      <c r="A429" s="3"/>
      <c r="B429" s="3"/>
      <c r="C429" s="3"/>
      <c r="D429" s="3"/>
      <c r="E429" s="3"/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</row>
    <row r="430" spans="1:26">
      <c r="A430" s="3"/>
      <c r="B430" s="3"/>
      <c r="C430" s="3"/>
      <c r="D430" s="3"/>
      <c r="E430" s="3"/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</row>
    <row r="431" spans="1:26">
      <c r="A431" s="3"/>
      <c r="B431" s="3"/>
      <c r="C431" s="3"/>
      <c r="D431" s="3"/>
      <c r="E431" s="3"/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</row>
    <row r="432" spans="1:26">
      <c r="A432" s="3"/>
      <c r="B432" s="3"/>
      <c r="C432" s="3"/>
      <c r="D432" s="3"/>
      <c r="E432" s="3"/>
      <c r="F432" s="3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</row>
    <row r="433" spans="1:26">
      <c r="A433" s="3"/>
      <c r="B433" s="3"/>
      <c r="C433" s="3"/>
      <c r="D433" s="3"/>
      <c r="E433" s="3"/>
      <c r="F433" s="3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</row>
    <row r="434" spans="1:26">
      <c r="A434" s="3"/>
      <c r="B434" s="3"/>
      <c r="C434" s="3"/>
      <c r="D434" s="3"/>
      <c r="E434" s="3"/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</row>
    <row r="435" spans="1:26">
      <c r="A435" s="3"/>
      <c r="B435" s="3"/>
      <c r="C435" s="3"/>
      <c r="D435" s="3"/>
      <c r="E435" s="3"/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</row>
    <row r="436" spans="1:26">
      <c r="A436" s="3"/>
      <c r="B436" s="3"/>
      <c r="C436" s="3"/>
      <c r="D436" s="3"/>
      <c r="E436" s="3"/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</row>
    <row r="437" spans="1:26">
      <c r="A437" s="3"/>
      <c r="B437" s="3"/>
      <c r="C437" s="3"/>
      <c r="D437" s="3"/>
      <c r="E437" s="3"/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</row>
    <row r="438" spans="1:26">
      <c r="A438" s="3"/>
      <c r="B438" s="3"/>
      <c r="C438" s="3"/>
      <c r="D438" s="3"/>
      <c r="E438" s="3"/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</row>
    <row r="439" spans="1:26">
      <c r="A439" s="3"/>
      <c r="B439" s="3"/>
      <c r="C439" s="3"/>
      <c r="D439" s="3"/>
      <c r="E439" s="3"/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</row>
    <row r="440" spans="1:26">
      <c r="A440" s="3"/>
      <c r="B440" s="3"/>
      <c r="C440" s="3"/>
      <c r="D440" s="3"/>
      <c r="E440" s="3"/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</row>
    <row r="441" spans="1:26">
      <c r="A441" s="3"/>
      <c r="B441" s="3"/>
      <c r="C441" s="3"/>
      <c r="D441" s="3"/>
      <c r="E441" s="3"/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</row>
    <row r="442" spans="1:26">
      <c r="A442" s="3"/>
      <c r="B442" s="3"/>
      <c r="C442" s="3"/>
      <c r="D442" s="3"/>
      <c r="E442" s="3"/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</row>
    <row r="443" spans="1:26">
      <c r="A443" s="3"/>
      <c r="B443" s="3"/>
      <c r="C443" s="3"/>
      <c r="D443" s="3"/>
      <c r="E443" s="3"/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</row>
    <row r="444" spans="1:26">
      <c r="A444" s="3"/>
      <c r="B444" s="3"/>
      <c r="C444" s="3"/>
      <c r="D444" s="3"/>
      <c r="E444" s="3"/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</row>
    <row r="445" spans="1:26">
      <c r="A445" s="3"/>
      <c r="B445" s="3"/>
      <c r="C445" s="3"/>
      <c r="D445" s="3"/>
      <c r="E445" s="3"/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</row>
    <row r="446" spans="1:26">
      <c r="A446" s="3"/>
      <c r="B446" s="3"/>
      <c r="C446" s="3"/>
      <c r="D446" s="3"/>
      <c r="E446" s="3"/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</row>
    <row r="447" spans="1:26">
      <c r="A447" s="3"/>
      <c r="B447" s="3"/>
      <c r="C447" s="3"/>
      <c r="D447" s="3"/>
      <c r="E447" s="3"/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</row>
    <row r="448" spans="1:26">
      <c r="A448" s="3"/>
      <c r="B448" s="3"/>
      <c r="C448" s="3"/>
      <c r="D448" s="3"/>
      <c r="E448" s="3"/>
      <c r="F448" s="3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</row>
    <row r="449" spans="1:26">
      <c r="A449" s="3"/>
      <c r="B449" s="3"/>
      <c r="C449" s="3"/>
      <c r="D449" s="3"/>
      <c r="E449" s="3"/>
      <c r="F449" s="3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</row>
    <row r="450" spans="1:26">
      <c r="A450" s="3"/>
      <c r="B450" s="3"/>
      <c r="C450" s="3"/>
      <c r="D450" s="3"/>
      <c r="E450" s="3"/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</row>
    <row r="451" spans="1:26">
      <c r="A451" s="3"/>
      <c r="B451" s="3"/>
      <c r="C451" s="3"/>
      <c r="D451" s="3"/>
      <c r="E451" s="3"/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</row>
    <row r="452" spans="1:26">
      <c r="A452" s="3"/>
      <c r="B452" s="3"/>
      <c r="C452" s="3"/>
      <c r="D452" s="3"/>
      <c r="E452" s="3"/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</row>
    <row r="453" spans="1:26">
      <c r="A453" s="3"/>
      <c r="B453" s="3"/>
      <c r="C453" s="3"/>
      <c r="D453" s="3"/>
      <c r="E453" s="3"/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</row>
    <row r="454" spans="1:26">
      <c r="A454" s="3"/>
      <c r="B454" s="3"/>
      <c r="C454" s="3"/>
      <c r="D454" s="3"/>
      <c r="E454" s="3"/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</row>
    <row r="455" spans="1:26">
      <c r="A455" s="3"/>
      <c r="B455" s="3"/>
      <c r="C455" s="3"/>
      <c r="D455" s="3"/>
      <c r="E455" s="3"/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</row>
    <row r="456" spans="1:26">
      <c r="A456" s="3"/>
      <c r="B456" s="3"/>
      <c r="C456" s="3"/>
      <c r="D456" s="3"/>
      <c r="E456" s="3"/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</row>
    <row r="457" spans="1:26">
      <c r="A457" s="3"/>
      <c r="B457" s="3"/>
      <c r="C457" s="3"/>
      <c r="D457" s="3"/>
      <c r="E457" s="3"/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</row>
    <row r="458" spans="1:26">
      <c r="A458" s="3"/>
      <c r="B458" s="3"/>
      <c r="C458" s="3"/>
      <c r="D458" s="3"/>
      <c r="E458" s="3"/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</row>
    <row r="459" spans="1:26">
      <c r="A459" s="3"/>
      <c r="B459" s="3"/>
      <c r="C459" s="3"/>
      <c r="D459" s="3"/>
      <c r="E459" s="3"/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</row>
    <row r="460" spans="1:26">
      <c r="A460" s="3"/>
      <c r="B460" s="3"/>
      <c r="C460" s="3"/>
      <c r="D460" s="3"/>
      <c r="E460" s="3"/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</row>
    <row r="461" spans="1:26">
      <c r="A461" s="3"/>
      <c r="B461" s="3"/>
      <c r="C461" s="3"/>
      <c r="D461" s="3"/>
      <c r="E461" s="3"/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</row>
    <row r="462" spans="1:26">
      <c r="A462" s="3"/>
      <c r="B462" s="3"/>
      <c r="C462" s="3"/>
      <c r="D462" s="3"/>
      <c r="E462" s="3"/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</row>
    <row r="463" spans="1:26">
      <c r="A463" s="3"/>
      <c r="B463" s="3"/>
      <c r="C463" s="3"/>
      <c r="D463" s="3"/>
      <c r="E463" s="3"/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</row>
    <row r="464" spans="1:26">
      <c r="A464" s="3"/>
      <c r="B464" s="3"/>
      <c r="C464" s="3"/>
      <c r="D464" s="3"/>
      <c r="E464" s="3"/>
      <c r="F464" s="3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</row>
    <row r="465" spans="1:26">
      <c r="A465" s="3"/>
      <c r="B465" s="3"/>
      <c r="C465" s="3"/>
      <c r="D465" s="3"/>
      <c r="E465" s="3"/>
      <c r="F465" s="3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</row>
    <row r="466" spans="1:26">
      <c r="A466" s="3"/>
      <c r="B466" s="3"/>
      <c r="C466" s="3"/>
      <c r="D466" s="3"/>
      <c r="E466" s="3"/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</row>
    <row r="467" spans="1:26">
      <c r="A467" s="3"/>
      <c r="B467" s="3"/>
      <c r="C467" s="3"/>
      <c r="D467" s="3"/>
      <c r="E467" s="3"/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</row>
    <row r="468" spans="1:26">
      <c r="A468" s="3"/>
      <c r="B468" s="3"/>
      <c r="C468" s="3"/>
      <c r="D468" s="3"/>
      <c r="E468" s="3"/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</row>
    <row r="469" spans="1:26">
      <c r="A469" s="3"/>
      <c r="B469" s="3"/>
      <c r="C469" s="3"/>
      <c r="D469" s="3"/>
      <c r="E469" s="3"/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</row>
    <row r="470" spans="1:26">
      <c r="A470" s="3"/>
      <c r="B470" s="3"/>
      <c r="C470" s="3"/>
      <c r="D470" s="3"/>
      <c r="E470" s="3"/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</row>
    <row r="471" spans="1:26">
      <c r="A471" s="3"/>
      <c r="B471" s="3"/>
      <c r="C471" s="3"/>
      <c r="D471" s="3"/>
      <c r="E471" s="3"/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</row>
    <row r="472" spans="1:26">
      <c r="A472" s="3"/>
      <c r="B472" s="3"/>
      <c r="C472" s="3"/>
      <c r="D472" s="3"/>
      <c r="E472" s="3"/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</row>
    <row r="473" spans="1:26">
      <c r="A473" s="3"/>
      <c r="B473" s="3"/>
      <c r="C473" s="3"/>
      <c r="D473" s="3"/>
      <c r="E473" s="3"/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</row>
    <row r="474" spans="1:26">
      <c r="A474" s="3"/>
      <c r="B474" s="3"/>
      <c r="C474" s="3"/>
      <c r="D474" s="3"/>
      <c r="E474" s="3"/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</row>
    <row r="475" spans="1:26">
      <c r="A475" s="3"/>
      <c r="B475" s="3"/>
      <c r="C475" s="3"/>
      <c r="D475" s="3"/>
      <c r="E475" s="3"/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</row>
    <row r="476" spans="1:26">
      <c r="A476" s="3"/>
      <c r="B476" s="3"/>
      <c r="C476" s="3"/>
      <c r="D476" s="3"/>
      <c r="E476" s="3"/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</row>
    <row r="477" spans="1:26">
      <c r="A477" s="3"/>
      <c r="B477" s="3"/>
      <c r="C477" s="3"/>
      <c r="D477" s="3"/>
      <c r="E477" s="3"/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</row>
    <row r="478" spans="1:26">
      <c r="A478" s="3"/>
      <c r="B478" s="3"/>
      <c r="C478" s="3"/>
      <c r="D478" s="3"/>
      <c r="E478" s="3"/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</row>
    <row r="479" spans="1:26">
      <c r="A479" s="3"/>
      <c r="B479" s="3"/>
      <c r="C479" s="3"/>
      <c r="D479" s="3"/>
      <c r="E479" s="3"/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</row>
    <row r="480" spans="1:26">
      <c r="A480" s="3"/>
      <c r="B480" s="3"/>
      <c r="C480" s="3"/>
      <c r="D480" s="3"/>
      <c r="E480" s="3"/>
      <c r="F480" s="3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</row>
    <row r="481" spans="1:26">
      <c r="A481" s="3"/>
      <c r="B481" s="3"/>
      <c r="C481" s="3"/>
      <c r="D481" s="3"/>
      <c r="E481" s="3"/>
      <c r="F481" s="3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</row>
    <row r="482" spans="1:26">
      <c r="A482" s="3"/>
      <c r="B482" s="3"/>
      <c r="C482" s="3"/>
      <c r="D482" s="3"/>
      <c r="E482" s="3"/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</row>
    <row r="483" spans="1:26">
      <c r="A483" s="3"/>
      <c r="B483" s="3"/>
      <c r="C483" s="3"/>
      <c r="D483" s="3"/>
      <c r="E483" s="3"/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</row>
    <row r="484" spans="1:26">
      <c r="A484" s="3"/>
      <c r="B484" s="3"/>
      <c r="C484" s="3"/>
      <c r="D484" s="3"/>
      <c r="E484" s="3"/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</row>
    <row r="485" spans="1:26">
      <c r="A485" s="3"/>
      <c r="B485" s="3"/>
      <c r="C485" s="3"/>
      <c r="D485" s="3"/>
      <c r="E485" s="3"/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</row>
    <row r="486" spans="1:26">
      <c r="A486" s="3"/>
      <c r="B486" s="3"/>
      <c r="C486" s="3"/>
      <c r="D486" s="3"/>
      <c r="E486" s="3"/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</row>
    <row r="487" spans="1:26">
      <c r="A487" s="3"/>
      <c r="B487" s="3"/>
      <c r="C487" s="3"/>
      <c r="D487" s="3"/>
      <c r="E487" s="3"/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</row>
    <row r="488" spans="1:26">
      <c r="A488" s="3"/>
      <c r="B488" s="3"/>
      <c r="C488" s="3"/>
      <c r="D488" s="3"/>
      <c r="E488" s="3"/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</row>
    <row r="489" spans="1:26">
      <c r="A489" s="3"/>
      <c r="B489" s="3"/>
      <c r="C489" s="3"/>
      <c r="D489" s="3"/>
      <c r="E489" s="3"/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</row>
    <row r="490" spans="1:26">
      <c r="A490" s="3"/>
      <c r="B490" s="3"/>
      <c r="C490" s="3"/>
      <c r="D490" s="3"/>
      <c r="E490" s="3"/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</row>
    <row r="491" spans="1:26">
      <c r="A491" s="3"/>
      <c r="B491" s="3"/>
      <c r="C491" s="3"/>
      <c r="D491" s="3"/>
      <c r="E491" s="3"/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</row>
    <row r="492" spans="1:26">
      <c r="A492" s="3"/>
      <c r="B492" s="3"/>
      <c r="C492" s="3"/>
      <c r="D492" s="3"/>
      <c r="E492" s="3"/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</row>
    <row r="493" spans="1:26">
      <c r="A493" s="3"/>
      <c r="B493" s="3"/>
      <c r="C493" s="3"/>
      <c r="D493" s="3"/>
      <c r="E493" s="3"/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</row>
    <row r="494" spans="1:26">
      <c r="A494" s="3"/>
      <c r="B494" s="3"/>
      <c r="C494" s="3"/>
      <c r="D494" s="3"/>
      <c r="E494" s="3"/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</row>
    <row r="495" spans="1:26">
      <c r="A495" s="3"/>
      <c r="B495" s="3"/>
      <c r="C495" s="3"/>
      <c r="D495" s="3"/>
      <c r="E495" s="3"/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</row>
    <row r="496" spans="1:26">
      <c r="A496" s="3"/>
      <c r="B496" s="3"/>
      <c r="C496" s="3"/>
      <c r="D496" s="3"/>
      <c r="E496" s="3"/>
      <c r="F496" s="3"/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</row>
    <row r="497" spans="1:26">
      <c r="A497" s="3"/>
      <c r="B497" s="3"/>
      <c r="C497" s="3"/>
      <c r="D497" s="3"/>
      <c r="E497" s="3"/>
      <c r="F497" s="3"/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</row>
    <row r="498" spans="1:26">
      <c r="A498" s="3"/>
      <c r="B498" s="3"/>
      <c r="C498" s="3"/>
      <c r="D498" s="3"/>
      <c r="E498" s="3"/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</row>
    <row r="499" spans="1:26">
      <c r="A499" s="3"/>
      <c r="B499" s="3"/>
      <c r="C499" s="3"/>
      <c r="D499" s="3"/>
      <c r="E499" s="3"/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</row>
    <row r="500" spans="1:26">
      <c r="A500" s="3"/>
      <c r="B500" s="3"/>
      <c r="C500" s="3"/>
      <c r="D500" s="3"/>
      <c r="E500" s="3"/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</row>
    <row r="501" spans="1:26">
      <c r="A501" s="3"/>
      <c r="B501" s="3"/>
      <c r="C501" s="3"/>
      <c r="D501" s="3"/>
      <c r="E501" s="3"/>
      <c r="F501" s="3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</row>
    <row r="502" spans="1:26">
      <c r="A502" s="3"/>
      <c r="B502" s="3"/>
      <c r="C502" s="3"/>
      <c r="D502" s="3"/>
      <c r="E502" s="3"/>
      <c r="F502" s="3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</row>
    <row r="503" spans="1:26">
      <c r="A503" s="3"/>
      <c r="B503" s="3"/>
      <c r="C503" s="3"/>
      <c r="D503" s="3"/>
      <c r="E503" s="3"/>
      <c r="F503" s="3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</row>
    <row r="504" spans="1:26">
      <c r="A504" s="3"/>
      <c r="B504" s="3"/>
      <c r="C504" s="3"/>
      <c r="D504" s="3"/>
      <c r="E504" s="3"/>
      <c r="F504" s="3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</row>
    <row r="505" spans="1:26">
      <c r="A505" s="3"/>
      <c r="B505" s="3"/>
      <c r="C505" s="3"/>
      <c r="D505" s="3"/>
      <c r="E505" s="3"/>
      <c r="F505" s="3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</row>
    <row r="506" spans="1:26">
      <c r="A506" s="3"/>
      <c r="B506" s="3"/>
      <c r="C506" s="3"/>
      <c r="D506" s="3"/>
      <c r="E506" s="3"/>
      <c r="F506" s="3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</row>
    <row r="507" spans="1:26">
      <c r="A507" s="3"/>
      <c r="B507" s="3"/>
      <c r="C507" s="3"/>
      <c r="D507" s="3"/>
      <c r="E507" s="3"/>
      <c r="F507" s="3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</row>
    <row r="508" spans="1:26">
      <c r="A508" s="3"/>
      <c r="B508" s="3"/>
      <c r="C508" s="3"/>
      <c r="D508" s="3"/>
      <c r="E508" s="3"/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</row>
    <row r="509" spans="1:26">
      <c r="A509" s="3"/>
      <c r="B509" s="3"/>
      <c r="C509" s="3"/>
      <c r="D509" s="3"/>
      <c r="E509" s="3"/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</row>
    <row r="510" spans="1:26">
      <c r="A510" s="3"/>
      <c r="B510" s="3"/>
      <c r="C510" s="3"/>
      <c r="D510" s="3"/>
      <c r="E510" s="3"/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</row>
    <row r="511" spans="1:26">
      <c r="A511" s="3"/>
      <c r="B511" s="3"/>
      <c r="C511" s="3"/>
      <c r="D511" s="3"/>
      <c r="E511" s="3"/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</row>
    <row r="512" spans="1:26">
      <c r="A512" s="3"/>
      <c r="B512" s="3"/>
      <c r="C512" s="3"/>
      <c r="D512" s="3"/>
      <c r="E512" s="3"/>
      <c r="F512" s="3"/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</row>
    <row r="513" spans="1:26">
      <c r="A513" s="3"/>
      <c r="B513" s="3"/>
      <c r="C513" s="3"/>
      <c r="D513" s="3"/>
      <c r="E513" s="3"/>
      <c r="F513" s="3"/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</row>
    <row r="514" spans="1:26">
      <c r="A514" s="3"/>
      <c r="B514" s="3"/>
      <c r="C514" s="3"/>
      <c r="D514" s="3"/>
      <c r="E514" s="3"/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</row>
    <row r="515" spans="1:26">
      <c r="A515" s="3"/>
      <c r="B515" s="3"/>
      <c r="C515" s="3"/>
      <c r="D515" s="3"/>
      <c r="E515" s="3"/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</row>
    <row r="516" spans="1:26">
      <c r="A516" s="3"/>
      <c r="B516" s="3"/>
      <c r="C516" s="3"/>
      <c r="D516" s="3"/>
      <c r="E516" s="3"/>
      <c r="F516" s="3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</row>
    <row r="517" spans="1:26">
      <c r="A517" s="3"/>
      <c r="B517" s="3"/>
      <c r="C517" s="3"/>
      <c r="D517" s="3"/>
      <c r="E517" s="3"/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</row>
    <row r="518" spans="1:26">
      <c r="A518" s="3"/>
      <c r="B518" s="3"/>
      <c r="C518" s="3"/>
      <c r="D518" s="3"/>
      <c r="E518" s="3"/>
      <c r="F518" s="3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</row>
    <row r="519" spans="1:26">
      <c r="A519" s="3"/>
      <c r="B519" s="3"/>
      <c r="C519" s="3"/>
      <c r="D519" s="3"/>
      <c r="E519" s="3"/>
      <c r="F519" s="3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</row>
    <row r="520" spans="1:26">
      <c r="A520" s="3"/>
      <c r="B520" s="3"/>
      <c r="C520" s="3"/>
      <c r="D520" s="3"/>
      <c r="E520" s="3"/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</row>
    <row r="521" spans="1:26">
      <c r="A521" s="3"/>
      <c r="B521" s="3"/>
      <c r="C521" s="3"/>
      <c r="D521" s="3"/>
      <c r="E521" s="3"/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</row>
    <row r="522" spans="1:26">
      <c r="A522" s="3"/>
      <c r="B522" s="3"/>
      <c r="C522" s="3"/>
      <c r="D522" s="3"/>
      <c r="E522" s="3"/>
      <c r="F522" s="3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</row>
    <row r="523" spans="1:26">
      <c r="A523" s="3"/>
      <c r="B523" s="3"/>
      <c r="C523" s="3"/>
      <c r="D523" s="3"/>
      <c r="E523" s="3"/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</row>
    <row r="524" spans="1:26">
      <c r="A524" s="3"/>
      <c r="B524" s="3"/>
      <c r="C524" s="3"/>
      <c r="D524" s="3"/>
      <c r="E524" s="3"/>
      <c r="F524" s="3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</row>
    <row r="525" spans="1:26">
      <c r="A525" s="3"/>
      <c r="B525" s="3"/>
      <c r="C525" s="3"/>
      <c r="D525" s="3"/>
      <c r="E525" s="3"/>
      <c r="F525" s="3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</row>
    <row r="526" spans="1:26">
      <c r="A526" s="3"/>
      <c r="B526" s="3"/>
      <c r="C526" s="3"/>
      <c r="D526" s="3"/>
      <c r="E526" s="3"/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</row>
    <row r="527" spans="1:26">
      <c r="A527" s="3"/>
      <c r="B527" s="3"/>
      <c r="C527" s="3"/>
      <c r="D527" s="3"/>
      <c r="E527" s="3"/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</row>
    <row r="528" spans="1:26">
      <c r="A528" s="3"/>
      <c r="B528" s="3"/>
      <c r="C528" s="3"/>
      <c r="D528" s="3"/>
      <c r="E528" s="3"/>
      <c r="F528" s="3"/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</row>
    <row r="529" spans="1:26">
      <c r="A529" s="3"/>
      <c r="B529" s="3"/>
      <c r="C529" s="3"/>
      <c r="D529" s="3"/>
      <c r="E529" s="3"/>
      <c r="F529" s="3"/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</row>
    <row r="530" spans="1:26">
      <c r="A530" s="3"/>
      <c r="B530" s="3"/>
      <c r="C530" s="3"/>
      <c r="D530" s="3"/>
      <c r="E530" s="3"/>
      <c r="F530" s="3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</row>
    <row r="531" spans="1:26">
      <c r="A531" s="3"/>
      <c r="B531" s="3"/>
      <c r="C531" s="3"/>
      <c r="D531" s="3"/>
      <c r="E531" s="3"/>
      <c r="F531" s="3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</row>
    <row r="532" spans="1:26">
      <c r="A532" s="3"/>
      <c r="B532" s="3"/>
      <c r="C532" s="3"/>
      <c r="D532" s="3"/>
      <c r="E532" s="3"/>
      <c r="F532" s="3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</row>
    <row r="533" spans="1:26">
      <c r="A533" s="3"/>
      <c r="B533" s="3"/>
      <c r="C533" s="3"/>
      <c r="D533" s="3"/>
      <c r="E533" s="3"/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</row>
    <row r="534" spans="1:26">
      <c r="A534" s="3"/>
      <c r="B534" s="3"/>
      <c r="C534" s="3"/>
      <c r="D534" s="3"/>
      <c r="E534" s="3"/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</row>
    <row r="535" spans="1:26">
      <c r="A535" s="3"/>
      <c r="B535" s="3"/>
      <c r="C535" s="3"/>
      <c r="D535" s="3"/>
      <c r="E535" s="3"/>
      <c r="F535" s="3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</row>
    <row r="536" spans="1:26">
      <c r="A536" s="3"/>
      <c r="B536" s="3"/>
      <c r="C536" s="3"/>
      <c r="D536" s="3"/>
      <c r="E536" s="3"/>
      <c r="F536" s="3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</row>
    <row r="537" spans="1:26">
      <c r="A537" s="3"/>
      <c r="B537" s="3"/>
      <c r="C537" s="3"/>
      <c r="D537" s="3"/>
      <c r="E537" s="3"/>
      <c r="F537" s="3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</row>
    <row r="538" spans="1:26">
      <c r="A538" s="3"/>
      <c r="B538" s="3"/>
      <c r="C538" s="3"/>
      <c r="D538" s="3"/>
      <c r="E538" s="3"/>
      <c r="F538" s="3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</row>
    <row r="539" spans="1:26">
      <c r="A539" s="3"/>
      <c r="B539" s="3"/>
      <c r="C539" s="3"/>
      <c r="D539" s="3"/>
      <c r="E539" s="3"/>
      <c r="F539" s="3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</row>
    <row r="540" spans="1:26">
      <c r="A540" s="3"/>
      <c r="B540" s="3"/>
      <c r="C540" s="3"/>
      <c r="D540" s="3"/>
      <c r="E540" s="3"/>
      <c r="F540" s="3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</row>
    <row r="541" spans="1:26">
      <c r="A541" s="3"/>
      <c r="B541" s="3"/>
      <c r="C541" s="3"/>
      <c r="D541" s="3"/>
      <c r="E541" s="3"/>
      <c r="F541" s="3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</row>
    <row r="542" spans="1:26">
      <c r="A542" s="3"/>
      <c r="B542" s="3"/>
      <c r="C542" s="3"/>
      <c r="D542" s="3"/>
      <c r="E542" s="3"/>
      <c r="F542" s="3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</row>
    <row r="543" spans="1:26">
      <c r="A543" s="3"/>
      <c r="B543" s="3"/>
      <c r="C543" s="3"/>
      <c r="D543" s="3"/>
      <c r="E543" s="3"/>
      <c r="F543" s="3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</row>
    <row r="544" spans="1:26">
      <c r="A544" s="3"/>
      <c r="B544" s="3"/>
      <c r="C544" s="3"/>
      <c r="D544" s="3"/>
      <c r="E544" s="3"/>
      <c r="F544" s="3"/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</row>
    <row r="545" spans="1:26">
      <c r="A545" s="3"/>
      <c r="B545" s="3"/>
      <c r="C545" s="3"/>
      <c r="D545" s="3"/>
      <c r="E545" s="3"/>
      <c r="F545" s="3"/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</row>
    <row r="546" spans="1:26">
      <c r="A546" s="3"/>
      <c r="B546" s="3"/>
      <c r="C546" s="3"/>
      <c r="D546" s="3"/>
      <c r="E546" s="3"/>
      <c r="F546" s="3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</row>
    <row r="547" spans="1:26">
      <c r="A547" s="3"/>
      <c r="B547" s="3"/>
      <c r="C547" s="3"/>
      <c r="D547" s="3"/>
      <c r="E547" s="3"/>
      <c r="F547" s="3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</row>
    <row r="548" spans="1:26">
      <c r="A548" s="3"/>
      <c r="B548" s="3"/>
      <c r="C548" s="3"/>
      <c r="D548" s="3"/>
      <c r="E548" s="3"/>
      <c r="F548" s="3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</row>
    <row r="549" spans="1:26">
      <c r="A549" s="3"/>
      <c r="B549" s="3"/>
      <c r="C549" s="3"/>
      <c r="D549" s="3"/>
      <c r="E549" s="3"/>
      <c r="F549" s="3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</row>
    <row r="550" spans="1:26">
      <c r="A550" s="3"/>
      <c r="B550" s="3"/>
      <c r="C550" s="3"/>
      <c r="D550" s="3"/>
      <c r="E550" s="3"/>
      <c r="F550" s="3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</row>
    <row r="551" spans="1:26">
      <c r="A551" s="3"/>
      <c r="B551" s="3"/>
      <c r="C551" s="3"/>
      <c r="D551" s="3"/>
      <c r="E551" s="3"/>
      <c r="F551" s="3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</row>
    <row r="552" spans="1:26">
      <c r="A552" s="3"/>
      <c r="B552" s="3"/>
      <c r="C552" s="3"/>
      <c r="D552" s="3"/>
      <c r="E552" s="3"/>
      <c r="F552" s="3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</row>
    <row r="553" spans="1:26">
      <c r="A553" s="3"/>
      <c r="B553" s="3"/>
      <c r="C553" s="3"/>
      <c r="D553" s="3"/>
      <c r="E553" s="3"/>
      <c r="F553" s="3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</row>
    <row r="554" spans="1:26">
      <c r="A554" s="3"/>
      <c r="B554" s="3"/>
      <c r="C554" s="3"/>
      <c r="D554" s="3"/>
      <c r="E554" s="3"/>
      <c r="F554" s="3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</row>
    <row r="555" spans="1:26">
      <c r="A555" s="3"/>
      <c r="B555" s="3"/>
      <c r="C555" s="3"/>
      <c r="D555" s="3"/>
      <c r="E555" s="3"/>
      <c r="F555" s="3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</row>
    <row r="556" spans="1:26">
      <c r="A556" s="3"/>
      <c r="B556" s="3"/>
      <c r="C556" s="3"/>
      <c r="D556" s="3"/>
      <c r="E556" s="3"/>
      <c r="F556" s="3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</row>
    <row r="557" spans="1:26">
      <c r="A557" s="3"/>
      <c r="B557" s="3"/>
      <c r="C557" s="3"/>
      <c r="D557" s="3"/>
      <c r="E557" s="3"/>
      <c r="F557" s="3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</row>
    <row r="558" spans="1:26">
      <c r="A558" s="3"/>
      <c r="B558" s="3"/>
      <c r="C558" s="3"/>
      <c r="D558" s="3"/>
      <c r="E558" s="3"/>
      <c r="F558" s="3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</row>
    <row r="559" spans="1:26">
      <c r="A559" s="3"/>
      <c r="B559" s="3"/>
      <c r="C559" s="3"/>
      <c r="D559" s="3"/>
      <c r="E559" s="3"/>
      <c r="F559" s="3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</row>
    <row r="560" spans="1:26">
      <c r="A560" s="3"/>
      <c r="B560" s="3"/>
      <c r="C560" s="3"/>
      <c r="D560" s="3"/>
      <c r="E560" s="3"/>
      <c r="F560" s="3"/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</row>
    <row r="561" spans="1:26">
      <c r="A561" s="3"/>
      <c r="B561" s="3"/>
      <c r="C561" s="3"/>
      <c r="D561" s="3"/>
      <c r="E561" s="3"/>
      <c r="F561" s="3"/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</row>
    <row r="562" spans="1:26">
      <c r="A562" s="3"/>
      <c r="B562" s="3"/>
      <c r="C562" s="3"/>
      <c r="D562" s="3"/>
      <c r="E562" s="3"/>
      <c r="F562" s="3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</row>
    <row r="563" spans="1:26">
      <c r="A563" s="3"/>
      <c r="B563" s="3"/>
      <c r="C563" s="3"/>
      <c r="D563" s="3"/>
      <c r="E563" s="3"/>
      <c r="F563" s="3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</row>
    <row r="564" spans="1:26">
      <c r="A564" s="3"/>
      <c r="B564" s="3"/>
      <c r="C564" s="3"/>
      <c r="D564" s="3"/>
      <c r="E564" s="3"/>
      <c r="F564" s="3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</row>
    <row r="565" spans="1:26">
      <c r="A565" s="3"/>
      <c r="B565" s="3"/>
      <c r="C565" s="3"/>
      <c r="D565" s="3"/>
      <c r="E565" s="3"/>
      <c r="F565" s="3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</row>
    <row r="566" spans="1:26">
      <c r="A566" s="3"/>
      <c r="B566" s="3"/>
      <c r="C566" s="3"/>
      <c r="D566" s="3"/>
      <c r="E566" s="3"/>
      <c r="F566" s="3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</row>
    <row r="567" spans="1:26">
      <c r="A567" s="3"/>
      <c r="B567" s="3"/>
      <c r="C567" s="3"/>
      <c r="D567" s="3"/>
      <c r="E567" s="3"/>
      <c r="F567" s="3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</row>
    <row r="568" spans="1:26">
      <c r="A568" s="3"/>
      <c r="B568" s="3"/>
      <c r="C568" s="3"/>
      <c r="D568" s="3"/>
      <c r="E568" s="3"/>
      <c r="F568" s="3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</row>
    <row r="569" spans="1:26">
      <c r="A569" s="3"/>
      <c r="B569" s="3"/>
      <c r="C569" s="3"/>
      <c r="D569" s="3"/>
      <c r="E569" s="3"/>
      <c r="F569" s="3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</row>
    <row r="570" spans="1:26">
      <c r="A570" s="3"/>
      <c r="B570" s="3"/>
      <c r="C570" s="3"/>
      <c r="D570" s="3"/>
      <c r="E570" s="3"/>
      <c r="F570" s="3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</row>
    <row r="571" spans="1:26">
      <c r="A571" s="3"/>
      <c r="B571" s="3"/>
      <c r="C571" s="3"/>
      <c r="D571" s="3"/>
      <c r="E571" s="3"/>
      <c r="F571" s="3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</row>
    <row r="572" spans="1:26">
      <c r="A572" s="3"/>
      <c r="B572" s="3"/>
      <c r="C572" s="3"/>
      <c r="D572" s="3"/>
      <c r="E572" s="3"/>
      <c r="F572" s="3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</row>
    <row r="573" spans="1:26">
      <c r="A573" s="3"/>
      <c r="B573" s="3"/>
      <c r="C573" s="3"/>
      <c r="D573" s="3"/>
      <c r="E573" s="3"/>
      <c r="F573" s="3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</row>
    <row r="574" spans="1:26">
      <c r="A574" s="3"/>
      <c r="B574" s="3"/>
      <c r="C574" s="3"/>
      <c r="D574" s="3"/>
      <c r="E574" s="3"/>
      <c r="F574" s="3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</row>
    <row r="575" spans="1:26">
      <c r="A575" s="3"/>
      <c r="B575" s="3"/>
      <c r="C575" s="3"/>
      <c r="D575" s="3"/>
      <c r="E575" s="3"/>
      <c r="F575" s="3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</row>
    <row r="576" spans="1:26">
      <c r="A576" s="3"/>
      <c r="B576" s="3"/>
      <c r="C576" s="3"/>
      <c r="D576" s="3"/>
      <c r="E576" s="3"/>
      <c r="F576" s="3"/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</row>
    <row r="577" spans="1:26">
      <c r="A577" s="3"/>
      <c r="B577" s="3"/>
      <c r="C577" s="3"/>
      <c r="D577" s="3"/>
      <c r="E577" s="3"/>
      <c r="F577" s="3"/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</row>
    <row r="578" spans="1:26">
      <c r="A578" s="3"/>
      <c r="B578" s="3"/>
      <c r="C578" s="3"/>
      <c r="D578" s="3"/>
      <c r="E578" s="3"/>
      <c r="F578" s="3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</row>
    <row r="579" spans="1:26">
      <c r="A579" s="3"/>
      <c r="B579" s="3"/>
      <c r="C579" s="3"/>
      <c r="D579" s="3"/>
      <c r="E579" s="3"/>
      <c r="F579" s="3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</row>
    <row r="580" spans="1:26">
      <c r="A580" s="3"/>
      <c r="B580" s="3"/>
      <c r="C580" s="3"/>
      <c r="D580" s="3"/>
      <c r="E580" s="3"/>
      <c r="F580" s="3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</row>
    <row r="581" spans="1:26">
      <c r="A581" s="3"/>
      <c r="B581" s="3"/>
      <c r="C581" s="3"/>
      <c r="D581" s="3"/>
      <c r="E581" s="3"/>
      <c r="F581" s="3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</row>
    <row r="582" spans="1:26">
      <c r="A582" s="3"/>
      <c r="B582" s="3"/>
      <c r="C582" s="3"/>
      <c r="D582" s="3"/>
      <c r="E582" s="3"/>
      <c r="F582" s="3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</row>
    <row r="583" spans="1:26">
      <c r="A583" s="3"/>
      <c r="B583" s="3"/>
      <c r="C583" s="3"/>
      <c r="D583" s="3"/>
      <c r="E583" s="3"/>
      <c r="F583" s="3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</row>
    <row r="584" spans="1:26">
      <c r="A584" s="3"/>
      <c r="B584" s="3"/>
      <c r="C584" s="3"/>
      <c r="D584" s="3"/>
      <c r="E584" s="3"/>
      <c r="F584" s="3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</row>
    <row r="585" spans="1:26">
      <c r="A585" s="3"/>
      <c r="B585" s="3"/>
      <c r="C585" s="3"/>
      <c r="D585" s="3"/>
      <c r="E585" s="3"/>
      <c r="F585" s="3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</row>
    <row r="586" spans="1:26">
      <c r="A586" s="3"/>
      <c r="B586" s="3"/>
      <c r="C586" s="3"/>
      <c r="D586" s="3"/>
      <c r="E586" s="3"/>
      <c r="F586" s="3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</row>
    <row r="587" spans="1:26">
      <c r="A587" s="3"/>
      <c r="B587" s="3"/>
      <c r="C587" s="3"/>
      <c r="D587" s="3"/>
      <c r="E587" s="3"/>
      <c r="F587" s="3"/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</row>
    <row r="588" spans="1:26">
      <c r="A588" s="3"/>
      <c r="B588" s="3"/>
      <c r="C588" s="3"/>
      <c r="D588" s="3"/>
      <c r="E588" s="3"/>
      <c r="F588" s="3"/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</row>
    <row r="589" spans="1:26">
      <c r="A589" s="3"/>
      <c r="B589" s="3"/>
      <c r="C589" s="3"/>
      <c r="D589" s="3"/>
      <c r="E589" s="3"/>
      <c r="F589" s="3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</row>
    <row r="590" spans="1:26">
      <c r="A590" s="3"/>
      <c r="B590" s="3"/>
      <c r="C590" s="3"/>
      <c r="D590" s="3"/>
      <c r="E590" s="3"/>
      <c r="F590" s="3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</row>
    <row r="591" spans="1:26">
      <c r="A591" s="3"/>
      <c r="B591" s="3"/>
      <c r="C591" s="3"/>
      <c r="D591" s="3"/>
      <c r="E591" s="3"/>
      <c r="F591" s="3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</row>
    <row r="592" spans="1:26">
      <c r="A592" s="3"/>
      <c r="B592" s="3"/>
      <c r="C592" s="3"/>
      <c r="D592" s="3"/>
      <c r="E592" s="3"/>
      <c r="F592" s="3"/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</row>
    <row r="593" spans="1:26">
      <c r="A593" s="3"/>
      <c r="B593" s="3"/>
      <c r="C593" s="3"/>
      <c r="D593" s="3"/>
      <c r="E593" s="3"/>
      <c r="F593" s="3"/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</row>
    <row r="594" spans="1:26">
      <c r="A594" s="3"/>
      <c r="B594" s="3"/>
      <c r="C594" s="3"/>
      <c r="D594" s="3"/>
      <c r="E594" s="3"/>
      <c r="F594" s="3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</row>
    <row r="595" spans="1:26">
      <c r="A595" s="3"/>
      <c r="B595" s="3"/>
      <c r="C595" s="3"/>
      <c r="D595" s="3"/>
      <c r="E595" s="3"/>
      <c r="F595" s="3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</row>
    <row r="596" spans="1:26">
      <c r="A596" s="3"/>
      <c r="B596" s="3"/>
      <c r="C596" s="3"/>
      <c r="D596" s="3"/>
      <c r="E596" s="3"/>
      <c r="F596" s="3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</row>
    <row r="597" spans="1:26">
      <c r="A597" s="3"/>
      <c r="B597" s="3"/>
      <c r="C597" s="3"/>
      <c r="D597" s="3"/>
      <c r="E597" s="3"/>
      <c r="F597" s="3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</row>
    <row r="598" spans="1:26">
      <c r="A598" s="3"/>
      <c r="B598" s="3"/>
      <c r="C598" s="3"/>
      <c r="D598" s="3"/>
      <c r="E598" s="3"/>
      <c r="F598" s="3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</row>
    <row r="599" spans="1:26">
      <c r="A599" s="3"/>
      <c r="B599" s="3"/>
      <c r="C599" s="3"/>
      <c r="D599" s="3"/>
      <c r="E599" s="3"/>
      <c r="F599" s="3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</row>
    <row r="600" spans="1:26">
      <c r="A600" s="3"/>
      <c r="B600" s="3"/>
      <c r="C600" s="3"/>
      <c r="D600" s="3"/>
      <c r="E600" s="3"/>
      <c r="F600" s="3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</row>
    <row r="601" spans="1:26">
      <c r="A601" s="3"/>
      <c r="B601" s="3"/>
      <c r="C601" s="3"/>
      <c r="D601" s="3"/>
      <c r="E601" s="3"/>
      <c r="F601" s="3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</row>
    <row r="602" spans="1:26">
      <c r="A602" s="3"/>
      <c r="B602" s="3"/>
      <c r="C602" s="3"/>
      <c r="D602" s="3"/>
      <c r="E602" s="3"/>
      <c r="F602" s="3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</row>
    <row r="603" spans="1:26">
      <c r="A603" s="3"/>
      <c r="B603" s="3"/>
      <c r="C603" s="3"/>
      <c r="D603" s="3"/>
      <c r="E603" s="3"/>
      <c r="F603" s="3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</row>
    <row r="604" spans="1:26">
      <c r="A604" s="3"/>
      <c r="B604" s="3"/>
      <c r="C604" s="3"/>
      <c r="D604" s="3"/>
      <c r="E604" s="3"/>
      <c r="F604" s="3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</row>
    <row r="605" spans="1:26">
      <c r="A605" s="3"/>
      <c r="B605" s="3"/>
      <c r="C605" s="3"/>
      <c r="D605" s="3"/>
      <c r="E605" s="3"/>
      <c r="F605" s="3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</row>
    <row r="606" spans="1:26">
      <c r="A606" s="3"/>
      <c r="B606" s="3"/>
      <c r="C606" s="3"/>
      <c r="D606" s="3"/>
      <c r="E606" s="3"/>
      <c r="F606" s="3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</row>
    <row r="607" spans="1:26">
      <c r="A607" s="3"/>
      <c r="B607" s="3"/>
      <c r="C607" s="3"/>
      <c r="D607" s="3"/>
      <c r="E607" s="3"/>
      <c r="F607" s="3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</row>
    <row r="608" spans="1:26">
      <c r="A608" s="3"/>
      <c r="B608" s="3"/>
      <c r="C608" s="3"/>
      <c r="D608" s="3"/>
      <c r="E608" s="3"/>
      <c r="F608" s="3"/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</row>
    <row r="609" spans="1:26">
      <c r="A609" s="3"/>
      <c r="B609" s="3"/>
      <c r="C609" s="3"/>
      <c r="D609" s="3"/>
      <c r="E609" s="3"/>
      <c r="F609" s="3"/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</row>
    <row r="610" spans="1:26">
      <c r="A610" s="3"/>
      <c r="B610" s="3"/>
      <c r="C610" s="3"/>
      <c r="D610" s="3"/>
      <c r="E610" s="3"/>
      <c r="F610" s="3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</row>
    <row r="611" spans="1:26">
      <c r="A611" s="3"/>
      <c r="B611" s="3"/>
      <c r="C611" s="3"/>
      <c r="D611" s="3"/>
      <c r="E611" s="3"/>
      <c r="F611" s="3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</row>
    <row r="612" spans="1:26">
      <c r="A612" s="3"/>
      <c r="B612" s="3"/>
      <c r="C612" s="3"/>
      <c r="D612" s="3"/>
      <c r="E612" s="3"/>
      <c r="F612" s="3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</row>
    <row r="613" spans="1:26">
      <c r="A613" s="3"/>
      <c r="B613" s="3"/>
      <c r="C613" s="3"/>
      <c r="D613" s="3"/>
      <c r="E613" s="3"/>
      <c r="F613" s="3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</row>
    <row r="614" spans="1:26">
      <c r="A614" s="3"/>
      <c r="B614" s="3"/>
      <c r="C614" s="3"/>
      <c r="D614" s="3"/>
      <c r="E614" s="3"/>
      <c r="F614" s="3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</row>
    <row r="615" spans="1:26">
      <c r="A615" s="3"/>
      <c r="B615" s="3"/>
      <c r="C615" s="3"/>
      <c r="D615" s="3"/>
      <c r="E615" s="3"/>
      <c r="F615" s="3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</row>
    <row r="616" spans="1:26">
      <c r="A616" s="3"/>
      <c r="B616" s="3"/>
      <c r="C616" s="3"/>
      <c r="D616" s="3"/>
      <c r="E616" s="3"/>
      <c r="F616" s="3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</row>
    <row r="617" spans="1:26">
      <c r="A617" s="3"/>
      <c r="B617" s="3"/>
      <c r="C617" s="3"/>
      <c r="D617" s="3"/>
      <c r="E617" s="3"/>
      <c r="F617" s="3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</row>
    <row r="618" spans="1:26">
      <c r="A618" s="3"/>
      <c r="B618" s="3"/>
      <c r="C618" s="3"/>
      <c r="D618" s="3"/>
      <c r="E618" s="3"/>
      <c r="F618" s="3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</row>
    <row r="619" spans="1:26">
      <c r="A619" s="3"/>
      <c r="B619" s="3"/>
      <c r="C619" s="3"/>
      <c r="D619" s="3"/>
      <c r="E619" s="3"/>
      <c r="F619" s="3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</row>
    <row r="620" spans="1:26">
      <c r="A620" s="3"/>
      <c r="B620" s="3"/>
      <c r="C620" s="3"/>
      <c r="D620" s="3"/>
      <c r="E620" s="3"/>
      <c r="F620" s="3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</row>
    <row r="621" spans="1:26">
      <c r="A621" s="3"/>
      <c r="B621" s="3"/>
      <c r="C621" s="3"/>
      <c r="D621" s="3"/>
      <c r="E621" s="3"/>
      <c r="F621" s="3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</row>
    <row r="622" spans="1:26">
      <c r="A622" s="3"/>
      <c r="B622" s="3"/>
      <c r="C622" s="3"/>
      <c r="D622" s="3"/>
      <c r="E622" s="3"/>
      <c r="F622" s="3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</row>
    <row r="623" spans="1:26">
      <c r="A623" s="3"/>
      <c r="B623" s="3"/>
      <c r="C623" s="3"/>
      <c r="D623" s="3"/>
      <c r="E623" s="3"/>
      <c r="F623" s="3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</row>
    <row r="624" spans="1:26">
      <c r="A624" s="3"/>
      <c r="B624" s="3"/>
      <c r="C624" s="3"/>
      <c r="D624" s="3"/>
      <c r="E624" s="3"/>
      <c r="F624" s="3"/>
      <c r="G624" s="3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</row>
    <row r="625" spans="1:26">
      <c r="A625" s="3"/>
      <c r="B625" s="3"/>
      <c r="C625" s="3"/>
      <c r="D625" s="3"/>
      <c r="E625" s="3"/>
      <c r="F625" s="3"/>
      <c r="G625" s="3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</row>
    <row r="626" spans="1:26">
      <c r="A626" s="3"/>
      <c r="B626" s="3"/>
      <c r="C626" s="3"/>
      <c r="D626" s="3"/>
      <c r="E626" s="3"/>
      <c r="F626" s="3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</row>
    <row r="627" spans="1:26">
      <c r="A627" s="3"/>
      <c r="B627" s="3"/>
      <c r="C627" s="3"/>
      <c r="D627" s="3"/>
      <c r="E627" s="3"/>
      <c r="F627" s="3"/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</row>
    <row r="628" spans="1:26">
      <c r="A628" s="3"/>
      <c r="B628" s="3"/>
      <c r="C628" s="3"/>
      <c r="D628" s="3"/>
      <c r="E628" s="3"/>
      <c r="F628" s="3"/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</row>
    <row r="629" spans="1:26">
      <c r="A629" s="3"/>
      <c r="B629" s="3"/>
      <c r="C629" s="3"/>
      <c r="D629" s="3"/>
      <c r="E629" s="3"/>
      <c r="F629" s="3"/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</row>
    <row r="630" spans="1:26">
      <c r="A630" s="3"/>
      <c r="B630" s="3"/>
      <c r="C630" s="3"/>
      <c r="D630" s="3"/>
      <c r="E630" s="3"/>
      <c r="F630" s="3"/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</row>
    <row r="631" spans="1:26">
      <c r="A631" s="3"/>
      <c r="B631" s="3"/>
      <c r="C631" s="3"/>
      <c r="D631" s="3"/>
      <c r="E631" s="3"/>
      <c r="F631" s="3"/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</row>
    <row r="632" spans="1:26">
      <c r="A632" s="3"/>
      <c r="B632" s="3"/>
      <c r="C632" s="3"/>
      <c r="D632" s="3"/>
      <c r="E632" s="3"/>
      <c r="F632" s="3"/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</row>
    <row r="633" spans="1:26">
      <c r="A633" s="3"/>
      <c r="B633" s="3"/>
      <c r="C633" s="3"/>
      <c r="D633" s="3"/>
      <c r="E633" s="3"/>
      <c r="F633" s="3"/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</row>
    <row r="634" spans="1:26">
      <c r="A634" s="3"/>
      <c r="B634" s="3"/>
      <c r="C634" s="3"/>
      <c r="D634" s="3"/>
      <c r="E634" s="3"/>
      <c r="F634" s="3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</row>
    <row r="635" spans="1:26">
      <c r="A635" s="3"/>
      <c r="B635" s="3"/>
      <c r="C635" s="3"/>
      <c r="D635" s="3"/>
      <c r="E635" s="3"/>
      <c r="F635" s="3"/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</row>
    <row r="636" spans="1:26">
      <c r="A636" s="3"/>
      <c r="B636" s="3"/>
      <c r="C636" s="3"/>
      <c r="D636" s="3"/>
      <c r="E636" s="3"/>
      <c r="F636" s="3"/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</row>
    <row r="637" spans="1:26">
      <c r="A637" s="3"/>
      <c r="B637" s="3"/>
      <c r="C637" s="3"/>
      <c r="D637" s="3"/>
      <c r="E637" s="3"/>
      <c r="F637" s="3"/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</row>
    <row r="638" spans="1:26">
      <c r="A638" s="3"/>
      <c r="B638" s="3"/>
      <c r="C638" s="3"/>
      <c r="D638" s="3"/>
      <c r="E638" s="3"/>
      <c r="F638" s="3"/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</row>
    <row r="639" spans="1:26">
      <c r="A639" s="3"/>
      <c r="B639" s="3"/>
      <c r="C639" s="3"/>
      <c r="D639" s="3"/>
      <c r="E639" s="3"/>
      <c r="F639" s="3"/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</row>
    <row r="640" spans="1:26">
      <c r="A640" s="3"/>
      <c r="B640" s="3"/>
      <c r="C640" s="3"/>
      <c r="D640" s="3"/>
      <c r="E640" s="3"/>
      <c r="F640" s="3"/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</row>
    <row r="641" spans="1:26">
      <c r="A641" s="3"/>
      <c r="B641" s="3"/>
      <c r="C641" s="3"/>
      <c r="D641" s="3"/>
      <c r="E641" s="3"/>
      <c r="F641" s="3"/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</row>
    <row r="642" spans="1:26">
      <c r="A642" s="3"/>
      <c r="B642" s="3"/>
      <c r="C642" s="3"/>
      <c r="D642" s="3"/>
      <c r="E642" s="3"/>
      <c r="F642" s="3"/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</row>
    <row r="643" spans="1:26">
      <c r="A643" s="3"/>
      <c r="B643" s="3"/>
      <c r="C643" s="3"/>
      <c r="D643" s="3"/>
      <c r="E643" s="3"/>
      <c r="F643" s="3"/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</row>
    <row r="644" spans="1:26">
      <c r="A644" s="3"/>
      <c r="B644" s="3"/>
      <c r="C644" s="3"/>
      <c r="D644" s="3"/>
      <c r="E644" s="3"/>
      <c r="F644" s="3"/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</row>
    <row r="645" spans="1:26">
      <c r="A645" s="3"/>
      <c r="B645" s="3"/>
      <c r="C645" s="3"/>
      <c r="D645" s="3"/>
      <c r="E645" s="3"/>
      <c r="F645" s="3"/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</row>
    <row r="646" spans="1:26">
      <c r="A646" s="3"/>
      <c r="B646" s="3"/>
      <c r="C646" s="3"/>
      <c r="D646" s="3"/>
      <c r="E646" s="3"/>
      <c r="F646" s="3"/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</row>
    <row r="647" spans="1:26">
      <c r="A647" s="3"/>
      <c r="B647" s="3"/>
      <c r="C647" s="3"/>
      <c r="D647" s="3"/>
      <c r="E647" s="3"/>
      <c r="F647" s="3"/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</row>
    <row r="648" spans="1:26">
      <c r="A648" s="3"/>
      <c r="B648" s="3"/>
      <c r="C648" s="3"/>
      <c r="D648" s="3"/>
      <c r="E648" s="3"/>
      <c r="F648" s="3"/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</row>
    <row r="649" spans="1:26">
      <c r="A649" s="3"/>
      <c r="B649" s="3"/>
      <c r="C649" s="3"/>
      <c r="D649" s="3"/>
      <c r="E649" s="3"/>
      <c r="F649" s="3"/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</row>
    <row r="650" spans="1:26">
      <c r="A650" s="3"/>
      <c r="B650" s="3"/>
      <c r="C650" s="3"/>
      <c r="D650" s="3"/>
      <c r="E650" s="3"/>
      <c r="F650" s="3"/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</row>
    <row r="651" spans="1:26">
      <c r="A651" s="3"/>
      <c r="B651" s="3"/>
      <c r="C651" s="3"/>
      <c r="D651" s="3"/>
      <c r="E651" s="3"/>
      <c r="F651" s="3"/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</row>
    <row r="652" spans="1:26">
      <c r="A652" s="3"/>
      <c r="B652" s="3"/>
      <c r="C652" s="3"/>
      <c r="D652" s="3"/>
      <c r="E652" s="3"/>
      <c r="F652" s="3"/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</row>
    <row r="653" spans="1:26">
      <c r="A653" s="3"/>
      <c r="B653" s="3"/>
      <c r="C653" s="3"/>
      <c r="D653" s="3"/>
      <c r="E653" s="3"/>
      <c r="F653" s="3"/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</row>
    <row r="654" spans="1:26">
      <c r="A654" s="3"/>
      <c r="B654" s="3"/>
      <c r="C654" s="3"/>
      <c r="D654" s="3"/>
      <c r="E654" s="3"/>
      <c r="F654" s="3"/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</row>
    <row r="655" spans="1:26">
      <c r="A655" s="3"/>
      <c r="B655" s="3"/>
      <c r="C655" s="3"/>
      <c r="D655" s="3"/>
      <c r="E655" s="3"/>
      <c r="F655" s="3"/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</row>
    <row r="656" spans="1:26">
      <c r="A656" s="3"/>
      <c r="B656" s="3"/>
      <c r="C656" s="3"/>
      <c r="D656" s="3"/>
      <c r="E656" s="3"/>
      <c r="F656" s="3"/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</row>
    <row r="657" spans="1:26">
      <c r="A657" s="3"/>
      <c r="B657" s="3"/>
      <c r="C657" s="3"/>
      <c r="D657" s="3"/>
      <c r="E657" s="3"/>
      <c r="F657" s="3"/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</row>
    <row r="658" spans="1:26">
      <c r="A658" s="3"/>
      <c r="B658" s="3"/>
      <c r="C658" s="3"/>
      <c r="D658" s="3"/>
      <c r="E658" s="3"/>
      <c r="F658" s="3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</row>
    <row r="659" spans="1:26">
      <c r="A659" s="3"/>
      <c r="B659" s="3"/>
      <c r="C659" s="3"/>
      <c r="D659" s="3"/>
      <c r="E659" s="3"/>
      <c r="F659" s="3"/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</row>
    <row r="660" spans="1:26">
      <c r="A660" s="3"/>
      <c r="B660" s="3"/>
      <c r="C660" s="3"/>
      <c r="D660" s="3"/>
      <c r="E660" s="3"/>
      <c r="F660" s="3"/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</row>
    <row r="661" spans="1:26">
      <c r="A661" s="3"/>
      <c r="B661" s="3"/>
      <c r="C661" s="3"/>
      <c r="D661" s="3"/>
      <c r="E661" s="3"/>
      <c r="F661" s="3"/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</row>
    <row r="662" spans="1:26">
      <c r="A662" s="3"/>
      <c r="B662" s="3"/>
      <c r="C662" s="3"/>
      <c r="D662" s="3"/>
      <c r="E662" s="3"/>
      <c r="F662" s="3"/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</row>
    <row r="663" spans="1:26">
      <c r="A663" s="3"/>
      <c r="B663" s="3"/>
      <c r="C663" s="3"/>
      <c r="D663" s="3"/>
      <c r="E663" s="3"/>
      <c r="F663" s="3"/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</row>
    <row r="664" spans="1:26">
      <c r="A664" s="3"/>
      <c r="B664" s="3"/>
      <c r="C664" s="3"/>
      <c r="D664" s="3"/>
      <c r="E664" s="3"/>
      <c r="F664" s="3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</row>
    <row r="665" spans="1:26">
      <c r="A665" s="3"/>
      <c r="B665" s="3"/>
      <c r="C665" s="3"/>
      <c r="D665" s="3"/>
      <c r="E665" s="3"/>
      <c r="F665" s="3"/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</row>
    <row r="666" spans="1:26">
      <c r="A666" s="3"/>
      <c r="B666" s="3"/>
      <c r="C666" s="3"/>
      <c r="D666" s="3"/>
      <c r="E666" s="3"/>
      <c r="F666" s="3"/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</row>
    <row r="667" spans="1:26">
      <c r="A667" s="3"/>
      <c r="B667" s="3"/>
      <c r="C667" s="3"/>
      <c r="D667" s="3"/>
      <c r="E667" s="3"/>
      <c r="F667" s="3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</row>
    <row r="668" spans="1:26">
      <c r="A668" s="3"/>
      <c r="B668" s="3"/>
      <c r="C668" s="3"/>
      <c r="D668" s="3"/>
      <c r="E668" s="3"/>
      <c r="F668" s="3"/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</row>
    <row r="669" spans="1:26">
      <c r="A669" s="3"/>
      <c r="B669" s="3"/>
      <c r="C669" s="3"/>
      <c r="D669" s="3"/>
      <c r="E669" s="3"/>
      <c r="F669" s="3"/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</row>
    <row r="670" spans="1:26">
      <c r="A670" s="3"/>
      <c r="B670" s="3"/>
      <c r="C670" s="3"/>
      <c r="D670" s="3"/>
      <c r="E670" s="3"/>
      <c r="F670" s="3"/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</row>
    <row r="671" spans="1:26">
      <c r="A671" s="3"/>
      <c r="B671" s="3"/>
      <c r="C671" s="3"/>
      <c r="D671" s="3"/>
      <c r="E671" s="3"/>
      <c r="F671" s="3"/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</row>
    <row r="672" spans="1:26">
      <c r="A672" s="3"/>
      <c r="B672" s="3"/>
      <c r="C672" s="3"/>
      <c r="D672" s="3"/>
      <c r="E672" s="3"/>
      <c r="F672" s="3"/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</row>
    <row r="673" spans="1:26">
      <c r="A673" s="3"/>
      <c r="B673" s="3"/>
      <c r="C673" s="3"/>
      <c r="D673" s="3"/>
      <c r="E673" s="3"/>
      <c r="F673" s="3"/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</row>
    <row r="674" spans="1:26">
      <c r="A674" s="3"/>
      <c r="B674" s="3"/>
      <c r="C674" s="3"/>
      <c r="D674" s="3"/>
      <c r="E674" s="3"/>
      <c r="F674" s="3"/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</row>
    <row r="675" spans="1:26">
      <c r="A675" s="3"/>
      <c r="B675" s="3"/>
      <c r="C675" s="3"/>
      <c r="D675" s="3"/>
      <c r="E675" s="3"/>
      <c r="F675" s="3"/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</row>
    <row r="676" spans="1:26">
      <c r="A676" s="3"/>
      <c r="B676" s="3"/>
      <c r="C676" s="3"/>
      <c r="D676" s="3"/>
      <c r="E676" s="3"/>
      <c r="F676" s="3"/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</row>
    <row r="677" spans="1:26">
      <c r="A677" s="3"/>
      <c r="B677" s="3"/>
      <c r="C677" s="3"/>
      <c r="D677" s="3"/>
      <c r="E677" s="3"/>
      <c r="F677" s="3"/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</row>
    <row r="678" spans="1:26">
      <c r="A678" s="3"/>
      <c r="B678" s="3"/>
      <c r="C678" s="3"/>
      <c r="D678" s="3"/>
      <c r="E678" s="3"/>
      <c r="F678" s="3"/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</row>
    <row r="679" spans="1:26">
      <c r="A679" s="3"/>
      <c r="B679" s="3"/>
      <c r="C679" s="3"/>
      <c r="D679" s="3"/>
      <c r="E679" s="3"/>
      <c r="F679" s="3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</row>
    <row r="680" spans="1:26">
      <c r="A680" s="3"/>
      <c r="B680" s="3"/>
      <c r="C680" s="3"/>
      <c r="D680" s="3"/>
      <c r="E680" s="3"/>
      <c r="F680" s="3"/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</row>
    <row r="681" spans="1:26">
      <c r="A681" s="3"/>
      <c r="B681" s="3"/>
      <c r="C681" s="3"/>
      <c r="D681" s="3"/>
      <c r="E681" s="3"/>
      <c r="F681" s="3"/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</row>
    <row r="682" spans="1:26">
      <c r="A682" s="3"/>
      <c r="B682" s="3"/>
      <c r="C682" s="3"/>
      <c r="D682" s="3"/>
      <c r="E682" s="3"/>
      <c r="F682" s="3"/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</row>
    <row r="683" spans="1:26">
      <c r="A683" s="3"/>
      <c r="B683" s="3"/>
      <c r="C683" s="3"/>
      <c r="D683" s="3"/>
      <c r="E683" s="3"/>
      <c r="F683" s="3"/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</row>
    <row r="684" spans="1:26">
      <c r="A684" s="3"/>
      <c r="B684" s="3"/>
      <c r="C684" s="3"/>
      <c r="D684" s="3"/>
      <c r="E684" s="3"/>
      <c r="F684" s="3"/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</row>
    <row r="685" spans="1:26">
      <c r="A685" s="3"/>
      <c r="B685" s="3"/>
      <c r="C685" s="3"/>
      <c r="D685" s="3"/>
      <c r="E685" s="3"/>
      <c r="F685" s="3"/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</row>
    <row r="686" spans="1:26">
      <c r="A686" s="3"/>
      <c r="B686" s="3"/>
      <c r="C686" s="3"/>
      <c r="D686" s="3"/>
      <c r="E686" s="3"/>
      <c r="F686" s="3"/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</row>
    <row r="687" spans="1:26">
      <c r="A687" s="3"/>
      <c r="B687" s="3"/>
      <c r="C687" s="3"/>
      <c r="D687" s="3"/>
      <c r="E687" s="3"/>
      <c r="F687" s="3"/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</row>
    <row r="688" spans="1:26">
      <c r="A688" s="3"/>
      <c r="B688" s="3"/>
      <c r="C688" s="3"/>
      <c r="D688" s="3"/>
      <c r="E688" s="3"/>
      <c r="F688" s="3"/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</row>
    <row r="689" spans="1:26">
      <c r="A689" s="3"/>
      <c r="B689" s="3"/>
      <c r="C689" s="3"/>
      <c r="D689" s="3"/>
      <c r="E689" s="3"/>
      <c r="F689" s="3"/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</row>
    <row r="690" spans="1:26">
      <c r="A690" s="3"/>
      <c r="B690" s="3"/>
      <c r="C690" s="3"/>
      <c r="D690" s="3"/>
      <c r="E690" s="3"/>
      <c r="F690" s="3"/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</row>
    <row r="691" spans="1:26">
      <c r="A691" s="3"/>
      <c r="B691" s="3"/>
      <c r="C691" s="3"/>
      <c r="D691" s="3"/>
      <c r="E691" s="3"/>
      <c r="F691" s="3"/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</row>
    <row r="692" spans="1:26">
      <c r="A692" s="3"/>
      <c r="B692" s="3"/>
      <c r="C692" s="3"/>
      <c r="D692" s="3"/>
      <c r="E692" s="3"/>
      <c r="F692" s="3"/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</row>
    <row r="693" spans="1:26">
      <c r="A693" s="3"/>
      <c r="B693" s="3"/>
      <c r="C693" s="3"/>
      <c r="D693" s="3"/>
      <c r="E693" s="3"/>
      <c r="F693" s="3"/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</row>
    <row r="694" spans="1:26">
      <c r="A694" s="3"/>
      <c r="B694" s="3"/>
      <c r="C694" s="3"/>
      <c r="D694" s="3"/>
      <c r="E694" s="3"/>
      <c r="F694" s="3"/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</row>
    <row r="695" spans="1:26">
      <c r="A695" s="3"/>
      <c r="B695" s="3"/>
      <c r="C695" s="3"/>
      <c r="D695" s="3"/>
      <c r="E695" s="3"/>
      <c r="F695" s="3"/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</row>
    <row r="696" spans="1:26">
      <c r="A696" s="3"/>
      <c r="B696" s="3"/>
      <c r="C696" s="3"/>
      <c r="D696" s="3"/>
      <c r="E696" s="3"/>
      <c r="F696" s="3"/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</row>
    <row r="697" spans="1:26">
      <c r="A697" s="3"/>
      <c r="B697" s="3"/>
      <c r="C697" s="3"/>
      <c r="D697" s="3"/>
      <c r="E697" s="3"/>
      <c r="F697" s="3"/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</row>
    <row r="698" spans="1:26">
      <c r="A698" s="3"/>
      <c r="B698" s="3"/>
      <c r="C698" s="3"/>
      <c r="D698" s="3"/>
      <c r="E698" s="3"/>
      <c r="F698" s="3"/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</row>
    <row r="699" spans="1:26">
      <c r="A699" s="3"/>
      <c r="B699" s="3"/>
      <c r="C699" s="3"/>
      <c r="D699" s="3"/>
      <c r="E699" s="3"/>
      <c r="F699" s="3"/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</row>
    <row r="700" spans="1:26">
      <c r="A700" s="3"/>
      <c r="B700" s="3"/>
      <c r="C700" s="3"/>
      <c r="D700" s="3"/>
      <c r="E700" s="3"/>
      <c r="F700" s="3"/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</row>
    <row r="701" spans="1:26">
      <c r="A701" s="3"/>
      <c r="B701" s="3"/>
      <c r="C701" s="3"/>
      <c r="D701" s="3"/>
      <c r="E701" s="3"/>
      <c r="F701" s="3"/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</row>
    <row r="702" spans="1:26">
      <c r="A702" s="3"/>
      <c r="B702" s="3"/>
      <c r="C702" s="3"/>
      <c r="D702" s="3"/>
      <c r="E702" s="3"/>
      <c r="F702" s="3"/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</row>
    <row r="703" spans="1:26">
      <c r="A703" s="3"/>
      <c r="B703" s="3"/>
      <c r="C703" s="3"/>
      <c r="D703" s="3"/>
      <c r="E703" s="3"/>
      <c r="F703" s="3"/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</row>
    <row r="704" spans="1:26">
      <c r="A704" s="3"/>
      <c r="B704" s="3"/>
      <c r="C704" s="3"/>
      <c r="D704" s="3"/>
      <c r="E704" s="3"/>
      <c r="F704" s="3"/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</row>
    <row r="705" spans="1:26">
      <c r="A705" s="3"/>
      <c r="B705" s="3"/>
      <c r="C705" s="3"/>
      <c r="D705" s="3"/>
      <c r="E705" s="3"/>
      <c r="F705" s="3"/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</row>
    <row r="706" spans="1:26">
      <c r="A706" s="3"/>
      <c r="B706" s="3"/>
      <c r="C706" s="3"/>
      <c r="D706" s="3"/>
      <c r="E706" s="3"/>
      <c r="F706" s="3"/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</row>
    <row r="707" spans="1:26">
      <c r="A707" s="3"/>
      <c r="B707" s="3"/>
      <c r="C707" s="3"/>
      <c r="D707" s="3"/>
      <c r="E707" s="3"/>
      <c r="F707" s="3"/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</row>
    <row r="708" spans="1:26">
      <c r="A708" s="3"/>
      <c r="B708" s="3"/>
      <c r="C708" s="3"/>
      <c r="D708" s="3"/>
      <c r="E708" s="3"/>
      <c r="F708" s="3"/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</row>
    <row r="709" spans="1:26">
      <c r="A709" s="3"/>
      <c r="B709" s="3"/>
      <c r="C709" s="3"/>
      <c r="D709" s="3"/>
      <c r="E709" s="3"/>
      <c r="F709" s="3"/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</row>
    <row r="710" spans="1:26">
      <c r="A710" s="3"/>
      <c r="B710" s="3"/>
      <c r="C710" s="3"/>
      <c r="D710" s="3"/>
      <c r="E710" s="3"/>
      <c r="F710" s="3"/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</row>
    <row r="711" spans="1:26">
      <c r="A711" s="3"/>
      <c r="B711" s="3"/>
      <c r="C711" s="3"/>
      <c r="D711" s="3"/>
      <c r="E711" s="3"/>
      <c r="F711" s="3"/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</row>
    <row r="712" spans="1:26">
      <c r="A712" s="3"/>
      <c r="B712" s="3"/>
      <c r="C712" s="3"/>
      <c r="D712" s="3"/>
      <c r="E712" s="3"/>
      <c r="F712" s="3"/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</row>
    <row r="713" spans="1:26">
      <c r="A713" s="3"/>
      <c r="B713" s="3"/>
      <c r="C713" s="3"/>
      <c r="D713" s="3"/>
      <c r="E713" s="3"/>
      <c r="F713" s="3"/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</row>
    <row r="714" spans="1:26">
      <c r="A714" s="3"/>
      <c r="B714" s="3"/>
      <c r="C714" s="3"/>
      <c r="D714" s="3"/>
      <c r="E714" s="3"/>
      <c r="F714" s="3"/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</row>
    <row r="715" spans="1:26">
      <c r="A715" s="3"/>
      <c r="B715" s="3"/>
      <c r="C715" s="3"/>
      <c r="D715" s="3"/>
      <c r="E715" s="3"/>
      <c r="F715" s="3"/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</row>
    <row r="716" spans="1:26">
      <c r="A716" s="3"/>
      <c r="B716" s="3"/>
      <c r="C716" s="3"/>
      <c r="D716" s="3"/>
      <c r="E716" s="3"/>
      <c r="F716" s="3"/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</row>
    <row r="717" spans="1:26">
      <c r="A717" s="3"/>
      <c r="B717" s="3"/>
      <c r="C717" s="3"/>
      <c r="D717" s="3"/>
      <c r="E717" s="3"/>
      <c r="F717" s="3"/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</row>
    <row r="718" spans="1:26">
      <c r="A718" s="3"/>
      <c r="B718" s="3"/>
      <c r="C718" s="3"/>
      <c r="D718" s="3"/>
      <c r="E718" s="3"/>
      <c r="F718" s="3"/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</row>
    <row r="719" spans="1:26">
      <c r="A719" s="3"/>
      <c r="B719" s="3"/>
      <c r="C719" s="3"/>
      <c r="D719" s="3"/>
      <c r="E719" s="3"/>
      <c r="F719" s="3"/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</row>
    <row r="720" spans="1:26">
      <c r="A720" s="3"/>
      <c r="B720" s="3"/>
      <c r="C720" s="3"/>
      <c r="D720" s="3"/>
      <c r="E720" s="3"/>
      <c r="F720" s="3"/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</row>
    <row r="721" spans="1:26">
      <c r="A721" s="3"/>
      <c r="B721" s="3"/>
      <c r="C721" s="3"/>
      <c r="D721" s="3"/>
      <c r="E721" s="3"/>
      <c r="F721" s="3"/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</row>
    <row r="722" spans="1:26">
      <c r="A722" s="3"/>
      <c r="B722" s="3"/>
      <c r="C722" s="3"/>
      <c r="D722" s="3"/>
      <c r="E722" s="3"/>
      <c r="F722" s="3"/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</row>
    <row r="723" spans="1:26">
      <c r="A723" s="3"/>
      <c r="B723" s="3"/>
      <c r="C723" s="3"/>
      <c r="D723" s="3"/>
      <c r="E723" s="3"/>
      <c r="F723" s="3"/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</row>
    <row r="724" spans="1:26">
      <c r="A724" s="3"/>
      <c r="B724" s="3"/>
      <c r="C724" s="3"/>
      <c r="D724" s="3"/>
      <c r="E724" s="3"/>
      <c r="F724" s="3"/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</row>
    <row r="725" spans="1:26">
      <c r="A725" s="3"/>
      <c r="B725" s="3"/>
      <c r="C725" s="3"/>
      <c r="D725" s="3"/>
      <c r="E725" s="3"/>
      <c r="F725" s="3"/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</row>
    <row r="726" spans="1:26">
      <c r="A726" s="3"/>
      <c r="B726" s="3"/>
      <c r="C726" s="3"/>
      <c r="D726" s="3"/>
      <c r="E726" s="3"/>
      <c r="F726" s="3"/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</row>
    <row r="727" spans="1:26">
      <c r="A727" s="3"/>
      <c r="B727" s="3"/>
      <c r="C727" s="3"/>
      <c r="D727" s="3"/>
      <c r="E727" s="3"/>
      <c r="F727" s="3"/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</row>
    <row r="728" spans="1:26">
      <c r="A728" s="3"/>
      <c r="B728" s="3"/>
      <c r="C728" s="3"/>
      <c r="D728" s="3"/>
      <c r="E728" s="3"/>
      <c r="F728" s="3"/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</row>
    <row r="729" spans="1:26">
      <c r="A729" s="3"/>
      <c r="B729" s="3"/>
      <c r="C729" s="3"/>
      <c r="D729" s="3"/>
      <c r="E729" s="3"/>
      <c r="F729" s="3"/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</row>
    <row r="730" spans="1:26">
      <c r="A730" s="3"/>
      <c r="B730" s="3"/>
      <c r="C730" s="3"/>
      <c r="D730" s="3"/>
      <c r="E730" s="3"/>
      <c r="F730" s="3"/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</row>
    <row r="731" spans="1:26">
      <c r="A731" s="3"/>
      <c r="B731" s="3"/>
      <c r="C731" s="3"/>
      <c r="D731" s="3"/>
      <c r="E731" s="3"/>
      <c r="F731" s="3"/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</row>
    <row r="732" spans="1:26">
      <c r="A732" s="3"/>
      <c r="B732" s="3"/>
      <c r="C732" s="3"/>
      <c r="D732" s="3"/>
      <c r="E732" s="3"/>
      <c r="F732" s="3"/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</row>
    <row r="733" spans="1:26">
      <c r="A733" s="3"/>
      <c r="B733" s="3"/>
      <c r="C733" s="3"/>
      <c r="D733" s="3"/>
      <c r="E733" s="3"/>
      <c r="F733" s="3"/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</row>
    <row r="734" spans="1:26">
      <c r="A734" s="3"/>
      <c r="B734" s="3"/>
      <c r="C734" s="3"/>
      <c r="D734" s="3"/>
      <c r="E734" s="3"/>
      <c r="F734" s="3"/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</row>
    <row r="735" spans="1:26">
      <c r="A735" s="3"/>
      <c r="B735" s="3"/>
      <c r="C735" s="3"/>
      <c r="D735" s="3"/>
      <c r="E735" s="3"/>
      <c r="F735" s="3"/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</row>
    <row r="736" spans="1:26">
      <c r="A736" s="3"/>
      <c r="B736" s="3"/>
      <c r="C736" s="3"/>
      <c r="D736" s="3"/>
      <c r="E736" s="3"/>
      <c r="F736" s="3"/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</row>
    <row r="737" spans="1:26">
      <c r="A737" s="3"/>
      <c r="B737" s="3"/>
      <c r="C737" s="3"/>
      <c r="D737" s="3"/>
      <c r="E737" s="3"/>
      <c r="F737" s="3"/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</row>
    <row r="738" spans="1:26">
      <c r="A738" s="3"/>
      <c r="B738" s="3"/>
      <c r="C738" s="3"/>
      <c r="D738" s="3"/>
      <c r="E738" s="3"/>
      <c r="F738" s="3"/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</row>
    <row r="739" spans="1:26">
      <c r="A739" s="3"/>
      <c r="B739" s="3"/>
      <c r="C739" s="3"/>
      <c r="D739" s="3"/>
      <c r="E739" s="3"/>
      <c r="F739" s="3"/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</row>
    <row r="740" spans="1:26">
      <c r="A740" s="3"/>
      <c r="B740" s="3"/>
      <c r="C740" s="3"/>
      <c r="D740" s="3"/>
      <c r="E740" s="3"/>
      <c r="F740" s="3"/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</row>
    <row r="741" spans="1:26">
      <c r="A741" s="3"/>
      <c r="B741" s="3"/>
      <c r="C741" s="3"/>
      <c r="D741" s="3"/>
      <c r="E741" s="3"/>
      <c r="F741" s="3"/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</row>
    <row r="742" spans="1:26">
      <c r="A742" s="3"/>
      <c r="B742" s="3"/>
      <c r="C742" s="3"/>
      <c r="D742" s="3"/>
      <c r="E742" s="3"/>
      <c r="F742" s="3"/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</row>
    <row r="743" spans="1:26">
      <c r="A743" s="3"/>
      <c r="B743" s="3"/>
      <c r="C743" s="3"/>
      <c r="D743" s="3"/>
      <c r="E743" s="3"/>
      <c r="F743" s="3"/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</row>
    <row r="744" spans="1:26">
      <c r="A744" s="3"/>
      <c r="B744" s="3"/>
      <c r="C744" s="3"/>
      <c r="D744" s="3"/>
      <c r="E744" s="3"/>
      <c r="F744" s="3"/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</row>
    <row r="745" spans="1:26">
      <c r="A745" s="3"/>
      <c r="B745" s="3"/>
      <c r="C745" s="3"/>
      <c r="D745" s="3"/>
      <c r="E745" s="3"/>
      <c r="F745" s="3"/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</row>
    <row r="746" spans="1:26">
      <c r="A746" s="3"/>
      <c r="B746" s="3"/>
      <c r="C746" s="3"/>
      <c r="D746" s="3"/>
      <c r="E746" s="3"/>
      <c r="F746" s="3"/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</row>
    <row r="747" spans="1:26">
      <c r="A747" s="3"/>
      <c r="B747" s="3"/>
      <c r="C747" s="3"/>
      <c r="D747" s="3"/>
      <c r="E747" s="3"/>
      <c r="F747" s="3"/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</row>
    <row r="748" spans="1:26">
      <c r="A748" s="3"/>
      <c r="B748" s="3"/>
      <c r="C748" s="3"/>
      <c r="D748" s="3"/>
      <c r="E748" s="3"/>
      <c r="F748" s="3"/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</row>
    <row r="749" spans="1:26">
      <c r="A749" s="3"/>
      <c r="B749" s="3"/>
      <c r="C749" s="3"/>
      <c r="D749" s="3"/>
      <c r="E749" s="3"/>
      <c r="F749" s="3"/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</row>
    <row r="750" spans="1:26">
      <c r="A750" s="3"/>
      <c r="B750" s="3"/>
      <c r="C750" s="3"/>
      <c r="D750" s="3"/>
      <c r="E750" s="3"/>
      <c r="F750" s="3"/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</row>
    <row r="751" spans="1:26">
      <c r="A751" s="3"/>
      <c r="B751" s="3"/>
      <c r="C751" s="3"/>
      <c r="D751" s="3"/>
      <c r="E751" s="3"/>
      <c r="F751" s="3"/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</row>
    <row r="752" spans="1:26">
      <c r="A752" s="3"/>
      <c r="B752" s="3"/>
      <c r="C752" s="3"/>
      <c r="D752" s="3"/>
      <c r="E752" s="3"/>
      <c r="F752" s="3"/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</row>
    <row r="753" spans="1:26">
      <c r="A753" s="3"/>
      <c r="B753" s="3"/>
      <c r="C753" s="3"/>
      <c r="D753" s="3"/>
      <c r="E753" s="3"/>
      <c r="F753" s="3"/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</row>
    <row r="754" spans="1:26">
      <c r="A754" s="3"/>
      <c r="B754" s="3"/>
      <c r="C754" s="3"/>
      <c r="D754" s="3"/>
      <c r="E754" s="3"/>
      <c r="F754" s="3"/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</row>
    <row r="755" spans="1:26">
      <c r="A755" s="3"/>
      <c r="B755" s="3"/>
      <c r="C755" s="3"/>
      <c r="D755" s="3"/>
      <c r="E755" s="3"/>
      <c r="F755" s="3"/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</row>
    <row r="756" spans="1:26">
      <c r="A756" s="3"/>
      <c r="B756" s="3"/>
      <c r="C756" s="3"/>
      <c r="D756" s="3"/>
      <c r="E756" s="3"/>
      <c r="F756" s="3"/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</row>
    <row r="757" spans="1:26">
      <c r="A757" s="3"/>
      <c r="B757" s="3"/>
      <c r="C757" s="3"/>
      <c r="D757" s="3"/>
      <c r="E757" s="3"/>
      <c r="F757" s="3"/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</row>
    <row r="758" spans="1:26">
      <c r="A758" s="3"/>
      <c r="B758" s="3"/>
      <c r="C758" s="3"/>
      <c r="D758" s="3"/>
      <c r="E758" s="3"/>
      <c r="F758" s="3"/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</row>
    <row r="759" spans="1:26">
      <c r="A759" s="3"/>
      <c r="B759" s="3"/>
      <c r="C759" s="3"/>
      <c r="D759" s="3"/>
      <c r="E759" s="3"/>
      <c r="F759" s="3"/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</row>
    <row r="760" spans="1:26">
      <c r="A760" s="3"/>
      <c r="B760" s="3"/>
      <c r="C760" s="3"/>
      <c r="D760" s="3"/>
      <c r="E760" s="3"/>
      <c r="F760" s="3"/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</row>
    <row r="761" spans="1:26">
      <c r="A761" s="3"/>
      <c r="B761" s="3"/>
      <c r="C761" s="3"/>
      <c r="D761" s="3"/>
      <c r="E761" s="3"/>
      <c r="F761" s="3"/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</row>
    <row r="762" spans="1:26">
      <c r="A762" s="3"/>
      <c r="B762" s="3"/>
      <c r="C762" s="3"/>
      <c r="D762" s="3"/>
      <c r="E762" s="3"/>
      <c r="F762" s="3"/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</row>
    <row r="763" spans="1:26">
      <c r="A763" s="3"/>
      <c r="B763" s="3"/>
      <c r="C763" s="3"/>
      <c r="D763" s="3"/>
      <c r="E763" s="3"/>
      <c r="F763" s="3"/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</row>
    <row r="764" spans="1:26">
      <c r="A764" s="3"/>
      <c r="B764" s="3"/>
      <c r="C764" s="3"/>
      <c r="D764" s="3"/>
      <c r="E764" s="3"/>
      <c r="F764" s="3"/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</row>
    <row r="765" spans="1:26">
      <c r="A765" s="3"/>
      <c r="B765" s="3"/>
      <c r="C765" s="3"/>
      <c r="D765" s="3"/>
      <c r="E765" s="3"/>
      <c r="F765" s="3"/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</row>
    <row r="766" spans="1:26">
      <c r="A766" s="3"/>
      <c r="B766" s="3"/>
      <c r="C766" s="3"/>
      <c r="D766" s="3"/>
      <c r="E766" s="3"/>
      <c r="F766" s="3"/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</row>
    <row r="767" spans="1:26">
      <c r="A767" s="3"/>
      <c r="B767" s="3"/>
      <c r="C767" s="3"/>
      <c r="D767" s="3"/>
      <c r="E767" s="3"/>
      <c r="F767" s="3"/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</row>
    <row r="768" spans="1:26">
      <c r="A768" s="3"/>
      <c r="B768" s="3"/>
      <c r="C768" s="3"/>
      <c r="D768" s="3"/>
      <c r="E768" s="3"/>
      <c r="F768" s="3"/>
      <c r="G768" s="3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</row>
    <row r="769" spans="1:26">
      <c r="A769" s="3"/>
      <c r="B769" s="3"/>
      <c r="C769" s="3"/>
      <c r="D769" s="3"/>
      <c r="E769" s="3"/>
      <c r="F769" s="3"/>
      <c r="G769" s="3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</row>
    <row r="770" spans="1:26">
      <c r="A770" s="3"/>
      <c r="B770" s="3"/>
      <c r="C770" s="3"/>
      <c r="D770" s="3"/>
      <c r="E770" s="3"/>
      <c r="F770" s="3"/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</row>
    <row r="771" spans="1:26">
      <c r="A771" s="3"/>
      <c r="B771" s="3"/>
      <c r="C771" s="3"/>
      <c r="D771" s="3"/>
      <c r="E771" s="3"/>
      <c r="F771" s="3"/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</row>
    <row r="772" spans="1:26">
      <c r="A772" s="3"/>
      <c r="B772" s="3"/>
      <c r="C772" s="3"/>
      <c r="D772" s="3"/>
      <c r="E772" s="3"/>
      <c r="F772" s="3"/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</row>
    <row r="773" spans="1:26">
      <c r="A773" s="3"/>
      <c r="B773" s="3"/>
      <c r="C773" s="3"/>
      <c r="D773" s="3"/>
      <c r="E773" s="3"/>
      <c r="F773" s="3"/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</row>
    <row r="774" spans="1:26">
      <c r="A774" s="3"/>
      <c r="B774" s="3"/>
      <c r="C774" s="3"/>
      <c r="D774" s="3"/>
      <c r="E774" s="3"/>
      <c r="F774" s="3"/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</row>
    <row r="775" spans="1:26">
      <c r="A775" s="3"/>
      <c r="B775" s="3"/>
      <c r="C775" s="3"/>
      <c r="D775" s="3"/>
      <c r="E775" s="3"/>
      <c r="F775" s="3"/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</row>
    <row r="776" spans="1:26">
      <c r="A776" s="3"/>
      <c r="B776" s="3"/>
      <c r="C776" s="3"/>
      <c r="D776" s="3"/>
      <c r="E776" s="3"/>
      <c r="F776" s="3"/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</row>
    <row r="777" spans="1:26">
      <c r="A777" s="3"/>
      <c r="B777" s="3"/>
      <c r="C777" s="3"/>
      <c r="D777" s="3"/>
      <c r="E777" s="3"/>
      <c r="F777" s="3"/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</row>
    <row r="778" spans="1:26">
      <c r="A778" s="3"/>
      <c r="B778" s="3"/>
      <c r="C778" s="3"/>
      <c r="D778" s="3"/>
      <c r="E778" s="3"/>
      <c r="F778" s="3"/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</row>
    <row r="779" spans="1:26">
      <c r="A779" s="3"/>
      <c r="B779" s="3"/>
      <c r="C779" s="3"/>
      <c r="D779" s="3"/>
      <c r="E779" s="3"/>
      <c r="F779" s="3"/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</row>
    <row r="780" spans="1:26">
      <c r="A780" s="3"/>
      <c r="B780" s="3"/>
      <c r="C780" s="3"/>
      <c r="D780" s="3"/>
      <c r="E780" s="3"/>
      <c r="F780" s="3"/>
      <c r="G780" s="3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</row>
    <row r="781" spans="1:26">
      <c r="A781" s="3"/>
      <c r="B781" s="3"/>
      <c r="C781" s="3"/>
      <c r="D781" s="3"/>
      <c r="E781" s="3"/>
      <c r="F781" s="3"/>
      <c r="G781" s="3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</row>
    <row r="782" spans="1:26">
      <c r="A782" s="3"/>
      <c r="B782" s="3"/>
      <c r="C782" s="3"/>
      <c r="D782" s="3"/>
      <c r="E782" s="3"/>
      <c r="F782" s="3"/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</row>
    <row r="783" spans="1:26">
      <c r="A783" s="3"/>
      <c r="B783" s="3"/>
      <c r="C783" s="3"/>
      <c r="D783" s="3"/>
      <c r="E783" s="3"/>
      <c r="F783" s="3"/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</row>
    <row r="784" spans="1:26">
      <c r="A784" s="3"/>
      <c r="B784" s="3"/>
      <c r="C784" s="3"/>
      <c r="D784" s="3"/>
      <c r="E784" s="3"/>
      <c r="F784" s="3"/>
      <c r="G784" s="3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</row>
    <row r="785" spans="1:26">
      <c r="A785" s="3"/>
      <c r="B785" s="3"/>
      <c r="C785" s="3"/>
      <c r="D785" s="3"/>
      <c r="E785" s="3"/>
      <c r="F785" s="3"/>
      <c r="G785" s="3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</row>
    <row r="786" spans="1:26">
      <c r="A786" s="3"/>
      <c r="B786" s="3"/>
      <c r="C786" s="3"/>
      <c r="D786" s="3"/>
      <c r="E786" s="3"/>
      <c r="F786" s="3"/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</row>
    <row r="787" spans="1:26">
      <c r="A787" s="3"/>
      <c r="B787" s="3"/>
      <c r="C787" s="3"/>
      <c r="D787" s="3"/>
      <c r="E787" s="3"/>
      <c r="F787" s="3"/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</row>
    <row r="788" spans="1:26">
      <c r="A788" s="3"/>
      <c r="B788" s="3"/>
      <c r="C788" s="3"/>
      <c r="D788" s="3"/>
      <c r="E788" s="3"/>
      <c r="F788" s="3"/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</row>
    <row r="789" spans="1:26">
      <c r="A789" s="3"/>
      <c r="B789" s="3"/>
      <c r="C789" s="3"/>
      <c r="D789" s="3"/>
      <c r="E789" s="3"/>
      <c r="F789" s="3"/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</row>
    <row r="790" spans="1:26">
      <c r="A790" s="3"/>
      <c r="B790" s="3"/>
      <c r="C790" s="3"/>
      <c r="D790" s="3"/>
      <c r="E790" s="3"/>
      <c r="F790" s="3"/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</row>
    <row r="791" spans="1:26">
      <c r="A791" s="3"/>
      <c r="B791" s="3"/>
      <c r="C791" s="3"/>
      <c r="D791" s="3"/>
      <c r="E791" s="3"/>
      <c r="F791" s="3"/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</row>
    <row r="792" spans="1:26">
      <c r="A792" s="3"/>
      <c r="B792" s="3"/>
      <c r="C792" s="3"/>
      <c r="D792" s="3"/>
      <c r="E792" s="3"/>
      <c r="F792" s="3"/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</row>
    <row r="793" spans="1:26">
      <c r="A793" s="3"/>
      <c r="B793" s="3"/>
      <c r="C793" s="3"/>
      <c r="D793" s="3"/>
      <c r="E793" s="3"/>
      <c r="F793" s="3"/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</row>
    <row r="794" spans="1:26">
      <c r="A794" s="3"/>
      <c r="B794" s="3"/>
      <c r="C794" s="3"/>
      <c r="D794" s="3"/>
      <c r="E794" s="3"/>
      <c r="F794" s="3"/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</row>
    <row r="795" spans="1:26">
      <c r="A795" s="3"/>
      <c r="B795" s="3"/>
      <c r="C795" s="3"/>
      <c r="D795" s="3"/>
      <c r="E795" s="3"/>
      <c r="F795" s="3"/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</row>
    <row r="796" spans="1:26">
      <c r="A796" s="3"/>
      <c r="B796" s="3"/>
      <c r="C796" s="3"/>
      <c r="D796" s="3"/>
      <c r="E796" s="3"/>
      <c r="F796" s="3"/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</row>
    <row r="797" spans="1:26">
      <c r="A797" s="3"/>
      <c r="B797" s="3"/>
      <c r="C797" s="3"/>
      <c r="D797" s="3"/>
      <c r="E797" s="3"/>
      <c r="F797" s="3"/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</row>
    <row r="798" spans="1:26">
      <c r="A798" s="3"/>
      <c r="B798" s="3"/>
      <c r="C798" s="3"/>
      <c r="D798" s="3"/>
      <c r="E798" s="3"/>
      <c r="F798" s="3"/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</row>
    <row r="799" spans="1:26">
      <c r="A799" s="3"/>
      <c r="B799" s="3"/>
      <c r="C799" s="3"/>
      <c r="D799" s="3"/>
      <c r="E799" s="3"/>
      <c r="F799" s="3"/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</row>
    <row r="800" spans="1:26">
      <c r="A800" s="3"/>
      <c r="B800" s="3"/>
      <c r="C800" s="3"/>
      <c r="D800" s="3"/>
      <c r="E800" s="3"/>
      <c r="F800" s="3"/>
      <c r="G800" s="3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</row>
    <row r="801" spans="1:26">
      <c r="A801" s="3"/>
      <c r="B801" s="3"/>
      <c r="C801" s="3"/>
      <c r="D801" s="3"/>
      <c r="E801" s="3"/>
      <c r="F801" s="3"/>
      <c r="G801" s="3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</row>
    <row r="802" spans="1:26">
      <c r="A802" s="3"/>
      <c r="B802" s="3"/>
      <c r="C802" s="3"/>
      <c r="D802" s="3"/>
      <c r="E802" s="3"/>
      <c r="F802" s="3"/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</row>
    <row r="803" spans="1:26">
      <c r="A803" s="3"/>
      <c r="B803" s="3"/>
      <c r="C803" s="3"/>
      <c r="D803" s="3"/>
      <c r="E803" s="3"/>
      <c r="F803" s="3"/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</row>
    <row r="804" spans="1:26">
      <c r="A804" s="3"/>
      <c r="B804" s="3"/>
      <c r="C804" s="3"/>
      <c r="D804" s="3"/>
      <c r="E804" s="3"/>
      <c r="F804" s="3"/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</row>
    <row r="805" spans="1:26">
      <c r="A805" s="3"/>
      <c r="B805" s="3"/>
      <c r="C805" s="3"/>
      <c r="D805" s="3"/>
      <c r="E805" s="3"/>
      <c r="F805" s="3"/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</row>
    <row r="806" spans="1:26">
      <c r="A806" s="3"/>
      <c r="B806" s="3"/>
      <c r="C806" s="3"/>
      <c r="D806" s="3"/>
      <c r="E806" s="3"/>
      <c r="F806" s="3"/>
      <c r="G806" s="3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</row>
    <row r="807" spans="1:26">
      <c r="A807" s="3"/>
      <c r="B807" s="3"/>
      <c r="C807" s="3"/>
      <c r="D807" s="3"/>
      <c r="E807" s="3"/>
      <c r="F807" s="3"/>
      <c r="G807" s="3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</row>
    <row r="808" spans="1:26">
      <c r="A808" s="3"/>
      <c r="B808" s="3"/>
      <c r="C808" s="3"/>
      <c r="D808" s="3"/>
      <c r="E808" s="3"/>
      <c r="F808" s="3"/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</row>
    <row r="809" spans="1:26">
      <c r="A809" s="3"/>
      <c r="B809" s="3"/>
      <c r="C809" s="3"/>
      <c r="D809" s="3"/>
      <c r="E809" s="3"/>
      <c r="F809" s="3"/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</row>
    <row r="810" spans="1:26">
      <c r="A810" s="3"/>
      <c r="B810" s="3"/>
      <c r="C810" s="3"/>
      <c r="D810" s="3"/>
      <c r="E810" s="3"/>
      <c r="F810" s="3"/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</row>
    <row r="811" spans="1:26">
      <c r="A811" s="3"/>
      <c r="B811" s="3"/>
      <c r="C811" s="3"/>
      <c r="D811" s="3"/>
      <c r="E811" s="3"/>
      <c r="F811" s="3"/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</row>
    <row r="812" spans="1:26">
      <c r="A812" s="3"/>
      <c r="B812" s="3"/>
      <c r="C812" s="3"/>
      <c r="D812" s="3"/>
      <c r="E812" s="3"/>
      <c r="F812" s="3"/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</row>
    <row r="813" spans="1:26">
      <c r="A813" s="3"/>
      <c r="B813" s="3"/>
      <c r="C813" s="3"/>
      <c r="D813" s="3"/>
      <c r="E813" s="3"/>
      <c r="F813" s="3"/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</row>
    <row r="814" spans="1:26">
      <c r="A814" s="3"/>
      <c r="B814" s="3"/>
      <c r="C814" s="3"/>
      <c r="D814" s="3"/>
      <c r="E814" s="3"/>
      <c r="F814" s="3"/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</row>
    <row r="815" spans="1:26">
      <c r="A815" s="3"/>
      <c r="B815" s="3"/>
      <c r="C815" s="3"/>
      <c r="D815" s="3"/>
      <c r="E815" s="3"/>
      <c r="F815" s="3"/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</row>
    <row r="816" spans="1:26">
      <c r="A816" s="3"/>
      <c r="B816" s="3"/>
      <c r="C816" s="3"/>
      <c r="D816" s="3"/>
      <c r="E816" s="3"/>
      <c r="F816" s="3"/>
      <c r="G816" s="3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</row>
    <row r="817" spans="1:26">
      <c r="A817" s="3"/>
      <c r="B817" s="3"/>
      <c r="C817" s="3"/>
      <c r="D817" s="3"/>
      <c r="E817" s="3"/>
      <c r="F817" s="3"/>
      <c r="G817" s="3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</row>
    <row r="818" spans="1:26">
      <c r="A818" s="3"/>
      <c r="B818" s="3"/>
      <c r="C818" s="3"/>
      <c r="D818" s="3"/>
      <c r="E818" s="3"/>
      <c r="F818" s="3"/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</row>
    <row r="819" spans="1:26">
      <c r="A819" s="3"/>
      <c r="B819" s="3"/>
      <c r="C819" s="3"/>
      <c r="D819" s="3"/>
      <c r="E819" s="3"/>
      <c r="F819" s="3"/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</row>
    <row r="820" spans="1:26">
      <c r="A820" s="3"/>
      <c r="B820" s="3"/>
      <c r="C820" s="3"/>
      <c r="D820" s="3"/>
      <c r="E820" s="3"/>
      <c r="F820" s="3"/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</row>
    <row r="821" spans="1:26">
      <c r="A821" s="3"/>
      <c r="B821" s="3"/>
      <c r="C821" s="3"/>
      <c r="D821" s="3"/>
      <c r="E821" s="3"/>
      <c r="F821" s="3"/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</row>
    <row r="822" spans="1:26">
      <c r="A822" s="3"/>
      <c r="B822" s="3"/>
      <c r="C822" s="3"/>
      <c r="D822" s="3"/>
      <c r="E822" s="3"/>
      <c r="F822" s="3"/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</row>
    <row r="823" spans="1:26">
      <c r="A823" s="3"/>
      <c r="B823" s="3"/>
      <c r="C823" s="3"/>
      <c r="D823" s="3"/>
      <c r="E823" s="3"/>
      <c r="F823" s="3"/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</row>
    <row r="824" spans="1:26">
      <c r="A824" s="3"/>
      <c r="B824" s="3"/>
      <c r="C824" s="3"/>
      <c r="D824" s="3"/>
      <c r="E824" s="3"/>
      <c r="F824" s="3"/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</row>
    <row r="825" spans="1:26">
      <c r="A825" s="3"/>
      <c r="B825" s="3"/>
      <c r="C825" s="3"/>
      <c r="D825" s="3"/>
      <c r="E825" s="3"/>
      <c r="F825" s="3"/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</row>
    <row r="826" spans="1:26">
      <c r="A826" s="3"/>
      <c r="B826" s="3"/>
      <c r="C826" s="3"/>
      <c r="D826" s="3"/>
      <c r="E826" s="3"/>
      <c r="F826" s="3"/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</row>
    <row r="827" spans="1:26">
      <c r="A827" s="3"/>
      <c r="B827" s="3"/>
      <c r="C827" s="3"/>
      <c r="D827" s="3"/>
      <c r="E827" s="3"/>
      <c r="F827" s="3"/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</row>
    <row r="828" spans="1:26">
      <c r="A828" s="3"/>
      <c r="B828" s="3"/>
      <c r="C828" s="3"/>
      <c r="D828" s="3"/>
      <c r="E828" s="3"/>
      <c r="F828" s="3"/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</row>
    <row r="829" spans="1:26">
      <c r="A829" s="3"/>
      <c r="B829" s="3"/>
      <c r="C829" s="3"/>
      <c r="D829" s="3"/>
      <c r="E829" s="3"/>
      <c r="F829" s="3"/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</row>
    <row r="830" spans="1:26">
      <c r="A830" s="3"/>
      <c r="B830" s="3"/>
      <c r="C830" s="3"/>
      <c r="D830" s="3"/>
      <c r="E830" s="3"/>
      <c r="F830" s="3"/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</row>
    <row r="831" spans="1:26">
      <c r="A831" s="3"/>
      <c r="B831" s="3"/>
      <c r="C831" s="3"/>
      <c r="D831" s="3"/>
      <c r="E831" s="3"/>
      <c r="F831" s="3"/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</row>
    <row r="832" spans="1:26">
      <c r="A832" s="3"/>
      <c r="B832" s="3"/>
      <c r="C832" s="3"/>
      <c r="D832" s="3"/>
      <c r="E832" s="3"/>
      <c r="F832" s="3"/>
      <c r="G832" s="3"/>
      <c r="H832" s="3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  <c r="Z832" s="3"/>
    </row>
    <row r="833" spans="1:26">
      <c r="A833" s="3"/>
      <c r="B833" s="3"/>
      <c r="C833" s="3"/>
      <c r="D833" s="3"/>
      <c r="E833" s="3"/>
      <c r="F833" s="3"/>
      <c r="G833" s="3"/>
      <c r="H833" s="3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  <c r="Z833" s="3"/>
    </row>
    <row r="834" spans="1:26">
      <c r="A834" s="3"/>
      <c r="B834" s="3"/>
      <c r="C834" s="3"/>
      <c r="D834" s="3"/>
      <c r="E834" s="3"/>
      <c r="F834" s="3"/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</row>
    <row r="835" spans="1:26">
      <c r="A835" s="3"/>
      <c r="B835" s="3"/>
      <c r="C835" s="3"/>
      <c r="D835" s="3"/>
      <c r="E835" s="3"/>
      <c r="F835" s="3"/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</row>
    <row r="836" spans="1:26">
      <c r="A836" s="3"/>
      <c r="B836" s="3"/>
      <c r="C836" s="3"/>
      <c r="D836" s="3"/>
      <c r="E836" s="3"/>
      <c r="F836" s="3"/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</row>
    <row r="837" spans="1:26">
      <c r="A837" s="3"/>
      <c r="B837" s="3"/>
      <c r="C837" s="3"/>
      <c r="D837" s="3"/>
      <c r="E837" s="3"/>
      <c r="F837" s="3"/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</row>
    <row r="838" spans="1:26">
      <c r="A838" s="3"/>
      <c r="B838" s="3"/>
      <c r="C838" s="3"/>
      <c r="D838" s="3"/>
      <c r="E838" s="3"/>
      <c r="F838" s="3"/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</row>
    <row r="839" spans="1:26">
      <c r="A839" s="3"/>
      <c r="B839" s="3"/>
      <c r="C839" s="3"/>
      <c r="D839" s="3"/>
      <c r="E839" s="3"/>
      <c r="F839" s="3"/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</row>
    <row r="840" spans="1:26">
      <c r="A840" s="3"/>
      <c r="B840" s="3"/>
      <c r="C840" s="3"/>
      <c r="D840" s="3"/>
      <c r="E840" s="3"/>
      <c r="F840" s="3"/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</row>
    <row r="841" spans="1:26">
      <c r="A841" s="3"/>
      <c r="B841" s="3"/>
      <c r="C841" s="3"/>
      <c r="D841" s="3"/>
      <c r="E841" s="3"/>
      <c r="F841" s="3"/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</row>
    <row r="842" spans="1:26">
      <c r="A842" s="3"/>
      <c r="B842" s="3"/>
      <c r="C842" s="3"/>
      <c r="D842" s="3"/>
      <c r="E842" s="3"/>
      <c r="F842" s="3"/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</row>
    <row r="843" spans="1:26">
      <c r="A843" s="3"/>
      <c r="B843" s="3"/>
      <c r="C843" s="3"/>
      <c r="D843" s="3"/>
      <c r="E843" s="3"/>
      <c r="F843" s="3"/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</row>
    <row r="844" spans="1:26">
      <c r="A844" s="3"/>
      <c r="B844" s="3"/>
      <c r="C844" s="3"/>
      <c r="D844" s="3"/>
      <c r="E844" s="3"/>
      <c r="F844" s="3"/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</row>
    <row r="845" spans="1:26">
      <c r="A845" s="3"/>
      <c r="B845" s="3"/>
      <c r="C845" s="3"/>
      <c r="D845" s="3"/>
      <c r="E845" s="3"/>
      <c r="F845" s="3"/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</row>
    <row r="846" spans="1:26">
      <c r="A846" s="3"/>
      <c r="B846" s="3"/>
      <c r="C846" s="3"/>
      <c r="D846" s="3"/>
      <c r="E846" s="3"/>
      <c r="F846" s="3"/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</row>
    <row r="847" spans="1:26">
      <c r="A847" s="3"/>
      <c r="B847" s="3"/>
      <c r="C847" s="3"/>
      <c r="D847" s="3"/>
      <c r="E847" s="3"/>
      <c r="F847" s="3"/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</row>
    <row r="848" spans="1:26">
      <c r="A848" s="3"/>
      <c r="B848" s="3"/>
      <c r="C848" s="3"/>
      <c r="D848" s="3"/>
      <c r="E848" s="3"/>
      <c r="F848" s="3"/>
      <c r="G848" s="3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  <c r="Z848" s="3"/>
    </row>
    <row r="849" spans="1:26">
      <c r="A849" s="3"/>
      <c r="B849" s="3"/>
      <c r="C849" s="3"/>
      <c r="D849" s="3"/>
      <c r="E849" s="3"/>
      <c r="F849" s="3"/>
      <c r="G849" s="3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  <c r="Z849" s="3"/>
    </row>
    <row r="850" spans="1:26">
      <c r="A850" s="3"/>
      <c r="B850" s="3"/>
      <c r="C850" s="3"/>
      <c r="D850" s="3"/>
      <c r="E850" s="3"/>
      <c r="F850" s="3"/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</row>
    <row r="851" spans="1:26">
      <c r="A851" s="3"/>
      <c r="B851" s="3"/>
      <c r="C851" s="3"/>
      <c r="D851" s="3"/>
      <c r="E851" s="3"/>
      <c r="F851" s="3"/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</row>
    <row r="852" spans="1:26">
      <c r="A852" s="3"/>
      <c r="B852" s="3"/>
      <c r="C852" s="3"/>
      <c r="D852" s="3"/>
      <c r="E852" s="3"/>
      <c r="F852" s="3"/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</row>
    <row r="853" spans="1:26">
      <c r="A853" s="3"/>
      <c r="B853" s="3"/>
      <c r="C853" s="3"/>
      <c r="D853" s="3"/>
      <c r="E853" s="3"/>
      <c r="F853" s="3"/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</row>
    <row r="854" spans="1:26">
      <c r="A854" s="3"/>
      <c r="B854" s="3"/>
      <c r="C854" s="3"/>
      <c r="D854" s="3"/>
      <c r="E854" s="3"/>
      <c r="F854" s="3"/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</row>
    <row r="855" spans="1:26">
      <c r="A855" s="3"/>
      <c r="B855" s="3"/>
      <c r="C855" s="3"/>
      <c r="D855" s="3"/>
      <c r="E855" s="3"/>
      <c r="F855" s="3"/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</row>
    <row r="856" spans="1:26">
      <c r="A856" s="3"/>
      <c r="B856" s="3"/>
      <c r="C856" s="3"/>
      <c r="D856" s="3"/>
      <c r="E856" s="3"/>
      <c r="F856" s="3"/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</row>
    <row r="857" spans="1:26">
      <c r="A857" s="3"/>
      <c r="B857" s="3"/>
      <c r="C857" s="3"/>
      <c r="D857" s="3"/>
      <c r="E857" s="3"/>
      <c r="F857" s="3"/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</row>
    <row r="858" spans="1:26">
      <c r="A858" s="3"/>
      <c r="B858" s="3"/>
      <c r="C858" s="3"/>
      <c r="D858" s="3"/>
      <c r="E858" s="3"/>
      <c r="F858" s="3"/>
      <c r="G858" s="3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  <c r="Z858" s="3"/>
    </row>
    <row r="859" spans="1:26">
      <c r="A859" s="3"/>
      <c r="B859" s="3"/>
      <c r="C859" s="3"/>
      <c r="D859" s="3"/>
      <c r="E859" s="3"/>
      <c r="F859" s="3"/>
      <c r="G859" s="3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  <c r="Z859" s="3"/>
    </row>
    <row r="860" spans="1:26">
      <c r="A860" s="3"/>
      <c r="B860" s="3"/>
      <c r="C860" s="3"/>
      <c r="D860" s="3"/>
      <c r="E860" s="3"/>
      <c r="F860" s="3"/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</row>
    <row r="861" spans="1:26">
      <c r="A861" s="3"/>
      <c r="B861" s="3"/>
      <c r="C861" s="3"/>
      <c r="D861" s="3"/>
      <c r="E861" s="3"/>
      <c r="F861" s="3"/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</row>
    <row r="862" spans="1:26">
      <c r="A862" s="3"/>
      <c r="B862" s="3"/>
      <c r="C862" s="3"/>
      <c r="D862" s="3"/>
      <c r="E862" s="3"/>
      <c r="F862" s="3"/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</row>
    <row r="863" spans="1:26">
      <c r="A863" s="3"/>
      <c r="B863" s="3"/>
      <c r="C863" s="3"/>
      <c r="D863" s="3"/>
      <c r="E863" s="3"/>
      <c r="F863" s="3"/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</row>
    <row r="864" spans="1:26">
      <c r="A864" s="3"/>
      <c r="B864" s="3"/>
      <c r="C864" s="3"/>
      <c r="D864" s="3"/>
      <c r="E864" s="3"/>
      <c r="F864" s="3"/>
      <c r="G864" s="3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  <c r="Z864" s="3"/>
    </row>
    <row r="865" spans="1:26">
      <c r="A865" s="3"/>
      <c r="B865" s="3"/>
      <c r="C865" s="3"/>
      <c r="D865" s="3"/>
      <c r="E865" s="3"/>
      <c r="F865" s="3"/>
      <c r="G865" s="3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  <c r="Z865" s="3"/>
    </row>
    <row r="866" spans="1:26">
      <c r="A866" s="3"/>
      <c r="B866" s="3"/>
      <c r="C866" s="3"/>
      <c r="D866" s="3"/>
      <c r="E866" s="3"/>
      <c r="F866" s="3"/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</row>
    <row r="867" spans="1:26">
      <c r="A867" s="3"/>
      <c r="B867" s="3"/>
      <c r="C867" s="3"/>
      <c r="D867" s="3"/>
      <c r="E867" s="3"/>
      <c r="F867" s="3"/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</row>
    <row r="868" spans="1:26">
      <c r="A868" s="3"/>
      <c r="B868" s="3"/>
      <c r="C868" s="3"/>
      <c r="D868" s="3"/>
      <c r="E868" s="3"/>
      <c r="F868" s="3"/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</row>
    <row r="869" spans="1:26">
      <c r="A869" s="3"/>
      <c r="B869" s="3"/>
      <c r="C869" s="3"/>
      <c r="D869" s="3"/>
      <c r="E869" s="3"/>
      <c r="F869" s="3"/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</row>
    <row r="870" spans="1:26">
      <c r="A870" s="3"/>
      <c r="B870" s="3"/>
      <c r="C870" s="3"/>
      <c r="D870" s="3"/>
      <c r="E870" s="3"/>
      <c r="F870" s="3"/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</row>
    <row r="871" spans="1:26">
      <c r="A871" s="3"/>
      <c r="B871" s="3"/>
      <c r="C871" s="3"/>
      <c r="D871" s="3"/>
      <c r="E871" s="3"/>
      <c r="F871" s="3"/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</row>
    <row r="872" spans="1:26">
      <c r="A872" s="3"/>
      <c r="B872" s="3"/>
      <c r="C872" s="3"/>
      <c r="D872" s="3"/>
      <c r="E872" s="3"/>
      <c r="F872" s="3"/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</row>
    <row r="873" spans="1:26">
      <c r="A873" s="3"/>
      <c r="B873" s="3"/>
      <c r="C873" s="3"/>
      <c r="D873" s="3"/>
      <c r="E873" s="3"/>
      <c r="F873" s="3"/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</row>
    <row r="874" spans="1:26">
      <c r="A874" s="3"/>
      <c r="B874" s="3"/>
      <c r="C874" s="3"/>
      <c r="D874" s="3"/>
      <c r="E874" s="3"/>
      <c r="F874" s="3"/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</row>
    <row r="875" spans="1:26">
      <c r="A875" s="3"/>
      <c r="B875" s="3"/>
      <c r="C875" s="3"/>
      <c r="D875" s="3"/>
      <c r="E875" s="3"/>
      <c r="F875" s="3"/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</row>
    <row r="876" spans="1:26">
      <c r="A876" s="3"/>
      <c r="B876" s="3"/>
      <c r="C876" s="3"/>
      <c r="D876" s="3"/>
      <c r="E876" s="3"/>
      <c r="F876" s="3"/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</row>
    <row r="877" spans="1:26">
      <c r="A877" s="3"/>
      <c r="B877" s="3"/>
      <c r="C877" s="3"/>
      <c r="D877" s="3"/>
      <c r="E877" s="3"/>
      <c r="F877" s="3"/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</row>
    <row r="878" spans="1:26">
      <c r="A878" s="3"/>
      <c r="B878" s="3"/>
      <c r="C878" s="3"/>
      <c r="D878" s="3"/>
      <c r="E878" s="3"/>
      <c r="F878" s="3"/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</row>
    <row r="879" spans="1:26">
      <c r="A879" s="3"/>
      <c r="B879" s="3"/>
      <c r="C879" s="3"/>
      <c r="D879" s="3"/>
      <c r="E879" s="3"/>
      <c r="F879" s="3"/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</row>
    <row r="880" spans="1:26">
      <c r="A880" s="3"/>
      <c r="B880" s="3"/>
      <c r="C880" s="3"/>
      <c r="D880" s="3"/>
      <c r="E880" s="3"/>
      <c r="F880" s="3"/>
      <c r="G880" s="3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3"/>
    </row>
    <row r="881" spans="1:26">
      <c r="A881" s="3"/>
      <c r="B881" s="3"/>
      <c r="C881" s="3"/>
      <c r="D881" s="3"/>
      <c r="E881" s="3"/>
      <c r="F881" s="3"/>
      <c r="G881" s="3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3"/>
    </row>
    <row r="882" spans="1:26">
      <c r="A882" s="3"/>
      <c r="B882" s="3"/>
      <c r="C882" s="3"/>
      <c r="D882" s="3"/>
      <c r="E882" s="3"/>
      <c r="F882" s="3"/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</row>
    <row r="883" spans="1:26">
      <c r="A883" s="3"/>
      <c r="B883" s="3"/>
      <c r="C883" s="3"/>
      <c r="D883" s="3"/>
      <c r="E883" s="3"/>
      <c r="F883" s="3"/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</row>
    <row r="884" spans="1:26">
      <c r="A884" s="3"/>
      <c r="B884" s="3"/>
      <c r="C884" s="3"/>
      <c r="D884" s="3"/>
      <c r="E884" s="3"/>
      <c r="F884" s="3"/>
      <c r="G884" s="3"/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  <c r="Z884" s="3"/>
    </row>
    <row r="885" spans="1:26">
      <c r="A885" s="3"/>
      <c r="B885" s="3"/>
      <c r="C885" s="3"/>
      <c r="D885" s="3"/>
      <c r="E885" s="3"/>
      <c r="F885" s="3"/>
      <c r="G885" s="3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  <c r="Z885" s="3"/>
    </row>
    <row r="886" spans="1:26">
      <c r="A886" s="3"/>
      <c r="B886" s="3"/>
      <c r="C886" s="3"/>
      <c r="D886" s="3"/>
      <c r="E886" s="3"/>
      <c r="F886" s="3"/>
      <c r="G886" s="3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</row>
    <row r="887" spans="1:26">
      <c r="A887" s="3"/>
      <c r="B887" s="3"/>
      <c r="C887" s="3"/>
      <c r="D887" s="3"/>
      <c r="E887" s="3"/>
      <c r="F887" s="3"/>
      <c r="G887" s="3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</row>
    <row r="888" spans="1:26">
      <c r="A888" s="3"/>
      <c r="B888" s="3"/>
      <c r="C888" s="3"/>
      <c r="D888" s="3"/>
      <c r="E888" s="3"/>
      <c r="F888" s="3"/>
      <c r="G888" s="3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</row>
    <row r="889" spans="1:26">
      <c r="A889" s="3"/>
      <c r="B889" s="3"/>
      <c r="C889" s="3"/>
      <c r="D889" s="3"/>
      <c r="E889" s="3"/>
      <c r="F889" s="3"/>
      <c r="G889" s="3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</row>
    <row r="890" spans="1:26">
      <c r="A890" s="3"/>
      <c r="B890" s="3"/>
      <c r="C890" s="3"/>
      <c r="D890" s="3"/>
      <c r="E890" s="3"/>
      <c r="F890" s="3"/>
      <c r="G890" s="3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/>
    </row>
    <row r="891" spans="1:26">
      <c r="A891" s="3"/>
      <c r="B891" s="3"/>
      <c r="C891" s="3"/>
      <c r="D891" s="3"/>
      <c r="E891" s="3"/>
      <c r="F891" s="3"/>
      <c r="G891" s="3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3"/>
    </row>
    <row r="892" spans="1:26">
      <c r="A892" s="3"/>
      <c r="B892" s="3"/>
      <c r="C892" s="3"/>
      <c r="D892" s="3"/>
      <c r="E892" s="3"/>
      <c r="F892" s="3"/>
      <c r="G892" s="3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3"/>
    </row>
    <row r="893" spans="1:26">
      <c r="A893" s="3"/>
      <c r="B893" s="3"/>
      <c r="C893" s="3"/>
      <c r="D893" s="3"/>
      <c r="E893" s="3"/>
      <c r="F893" s="3"/>
      <c r="G893" s="3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3"/>
    </row>
    <row r="894" spans="1:26">
      <c r="A894" s="3"/>
      <c r="B894" s="3"/>
      <c r="C894" s="3"/>
      <c r="D894" s="3"/>
      <c r="E894" s="3"/>
      <c r="F894" s="3"/>
      <c r="G894" s="3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"/>
    </row>
    <row r="895" spans="1:26">
      <c r="A895" s="3"/>
      <c r="B895" s="3"/>
      <c r="C895" s="3"/>
      <c r="D895" s="3"/>
      <c r="E895" s="3"/>
      <c r="F895" s="3"/>
      <c r="G895" s="3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3"/>
    </row>
    <row r="896" spans="1:26">
      <c r="A896" s="3"/>
      <c r="B896" s="3"/>
      <c r="C896" s="3"/>
      <c r="D896" s="3"/>
      <c r="E896" s="3"/>
      <c r="F896" s="3"/>
      <c r="G896" s="3"/>
      <c r="H896" s="3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3"/>
      <c r="Z896" s="3"/>
    </row>
    <row r="897" spans="1:26">
      <c r="A897" s="3"/>
      <c r="B897" s="3"/>
      <c r="C897" s="3"/>
      <c r="D897" s="3"/>
      <c r="E897" s="3"/>
      <c r="F897" s="3"/>
      <c r="G897" s="3"/>
      <c r="H897" s="3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3"/>
      <c r="Z897" s="3"/>
    </row>
    <row r="898" spans="1:26">
      <c r="A898" s="3"/>
      <c r="B898" s="3"/>
      <c r="C898" s="3"/>
      <c r="D898" s="3"/>
      <c r="E898" s="3"/>
      <c r="F898" s="3"/>
      <c r="G898" s="3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3"/>
    </row>
    <row r="899" spans="1:26">
      <c r="A899" s="3"/>
      <c r="B899" s="3"/>
      <c r="C899" s="3"/>
      <c r="D899" s="3"/>
      <c r="E899" s="3"/>
      <c r="F899" s="3"/>
      <c r="G899" s="3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  <c r="Z899" s="3"/>
    </row>
    <row r="900" spans="1:26">
      <c r="A900" s="3"/>
      <c r="B900" s="3"/>
      <c r="C900" s="3"/>
      <c r="D900" s="3"/>
      <c r="E900" s="3"/>
      <c r="F900" s="3"/>
      <c r="G900" s="3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  <c r="Z900" s="3"/>
    </row>
    <row r="901" spans="1:26">
      <c r="A901" s="3"/>
      <c r="B901" s="3"/>
      <c r="C901" s="3"/>
      <c r="D901" s="3"/>
      <c r="E901" s="3"/>
      <c r="F901" s="3"/>
      <c r="G901" s="3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  <c r="Z901" s="3"/>
    </row>
    <row r="902" spans="1:26">
      <c r="A902" s="3"/>
      <c r="B902" s="3"/>
      <c r="C902" s="3"/>
      <c r="D902" s="3"/>
      <c r="E902" s="3"/>
      <c r="F902" s="3"/>
      <c r="G902" s="3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/>
    </row>
    <row r="903" spans="1:26">
      <c r="A903" s="3"/>
      <c r="B903" s="3"/>
      <c r="C903" s="3"/>
      <c r="D903" s="3"/>
      <c r="E903" s="3"/>
      <c r="F903" s="3"/>
      <c r="G903" s="3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/>
    </row>
    <row r="904" spans="1:26">
      <c r="A904" s="3"/>
      <c r="B904" s="3"/>
      <c r="C904" s="3"/>
      <c r="D904" s="3"/>
      <c r="E904" s="3"/>
      <c r="F904" s="3"/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</row>
    <row r="905" spans="1:26">
      <c r="A905" s="3"/>
      <c r="B905" s="3"/>
      <c r="C905" s="3"/>
      <c r="D905" s="3"/>
      <c r="E905" s="3"/>
      <c r="F905" s="3"/>
      <c r="G905" s="3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</row>
    <row r="906" spans="1:26">
      <c r="A906" s="3"/>
      <c r="B906" s="3"/>
      <c r="C906" s="3"/>
      <c r="D906" s="3"/>
      <c r="E906" s="3"/>
      <c r="F906" s="3"/>
      <c r="G906" s="3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  <c r="Z906" s="3"/>
    </row>
    <row r="907" spans="1:26">
      <c r="A907" s="3"/>
      <c r="B907" s="3"/>
      <c r="C907" s="3"/>
      <c r="D907" s="3"/>
      <c r="E907" s="3"/>
      <c r="F907" s="3"/>
      <c r="G907" s="3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  <c r="Z907" s="3"/>
    </row>
    <row r="908" spans="1:26">
      <c r="A908" s="3"/>
      <c r="B908" s="3"/>
      <c r="C908" s="3"/>
      <c r="D908" s="3"/>
      <c r="E908" s="3"/>
      <c r="F908" s="3"/>
      <c r="G908" s="3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  <c r="Z908" s="3"/>
    </row>
    <row r="909" spans="1:26">
      <c r="A909" s="3"/>
      <c r="B909" s="3"/>
      <c r="C909" s="3"/>
      <c r="D909" s="3"/>
      <c r="E909" s="3"/>
      <c r="F909" s="3"/>
      <c r="G909" s="3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  <c r="Z909" s="3"/>
    </row>
    <row r="910" spans="1:26">
      <c r="A910" s="3"/>
      <c r="B910" s="3"/>
      <c r="C910" s="3"/>
      <c r="D910" s="3"/>
      <c r="E910" s="3"/>
      <c r="F910" s="3"/>
      <c r="G910" s="3"/>
      <c r="H910" s="3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  <c r="Z910" s="3"/>
    </row>
    <row r="911" spans="1:26">
      <c r="A911" s="3"/>
      <c r="B911" s="3"/>
      <c r="C911" s="3"/>
      <c r="D911" s="3"/>
      <c r="E911" s="3"/>
      <c r="F911" s="3"/>
      <c r="G911" s="3"/>
      <c r="H911" s="3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  <c r="Z911" s="3"/>
    </row>
    <row r="912" spans="1:26">
      <c r="A912" s="3"/>
      <c r="B912" s="3"/>
      <c r="C912" s="3"/>
      <c r="D912" s="3"/>
      <c r="E912" s="3"/>
      <c r="F912" s="3"/>
      <c r="G912" s="3"/>
      <c r="H912" s="3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  <c r="Z912" s="3"/>
    </row>
    <row r="913" spans="1:26">
      <c r="A913" s="3"/>
      <c r="B913" s="3"/>
      <c r="C913" s="3"/>
      <c r="D913" s="3"/>
      <c r="E913" s="3"/>
      <c r="F913" s="3"/>
      <c r="G913" s="3"/>
      <c r="H913" s="3"/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  <c r="Y913" s="3"/>
      <c r="Z913" s="3"/>
    </row>
    <row r="914" spans="1:26">
      <c r="A914" s="3"/>
      <c r="B914" s="3"/>
      <c r="C914" s="3"/>
      <c r="D914" s="3"/>
      <c r="E914" s="3"/>
      <c r="F914" s="3"/>
      <c r="G914" s="3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  <c r="Z914" s="3"/>
    </row>
    <row r="915" spans="1:26">
      <c r="A915" s="3"/>
      <c r="B915" s="3"/>
      <c r="C915" s="3"/>
      <c r="D915" s="3"/>
      <c r="E915" s="3"/>
      <c r="F915" s="3"/>
      <c r="G915" s="3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  <c r="Z915" s="3"/>
    </row>
    <row r="916" spans="1:26">
      <c r="A916" s="3"/>
      <c r="B916" s="3"/>
      <c r="C916" s="3"/>
      <c r="D916" s="3"/>
      <c r="E916" s="3"/>
      <c r="F916" s="3"/>
      <c r="G916" s="3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  <c r="Z916" s="3"/>
    </row>
    <row r="917" spans="1:26">
      <c r="A917" s="3"/>
      <c r="B917" s="3"/>
      <c r="C917" s="3"/>
      <c r="D917" s="3"/>
      <c r="E917" s="3"/>
      <c r="F917" s="3"/>
      <c r="G917" s="3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  <c r="Z917" s="3"/>
    </row>
    <row r="918" spans="1:26">
      <c r="A918" s="3"/>
      <c r="B918" s="3"/>
      <c r="C918" s="3"/>
      <c r="D918" s="3"/>
      <c r="E918" s="3"/>
      <c r="F918" s="3"/>
      <c r="G918" s="3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  <c r="Z918" s="3"/>
    </row>
    <row r="919" spans="1:26">
      <c r="A919" s="3"/>
      <c r="B919" s="3"/>
      <c r="C919" s="3"/>
      <c r="D919" s="3"/>
      <c r="E919" s="3"/>
      <c r="F919" s="3"/>
      <c r="G919" s="3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  <c r="Z919" s="3"/>
    </row>
    <row r="920" spans="1:26">
      <c r="A920" s="3"/>
      <c r="B920" s="3"/>
      <c r="C920" s="3"/>
      <c r="D920" s="3"/>
      <c r="E920" s="3"/>
      <c r="F920" s="3"/>
      <c r="G920" s="3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  <c r="Z920" s="3"/>
    </row>
    <row r="921" spans="1:26">
      <c r="A921" s="3"/>
      <c r="B921" s="3"/>
      <c r="C921" s="3"/>
      <c r="D921" s="3"/>
      <c r="E921" s="3"/>
      <c r="F921" s="3"/>
      <c r="G921" s="3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  <c r="Z921" s="3"/>
    </row>
    <row r="922" spans="1:26">
      <c r="A922" s="3"/>
      <c r="B922" s="3"/>
      <c r="C922" s="3"/>
      <c r="D922" s="3"/>
      <c r="E922" s="3"/>
      <c r="F922" s="3"/>
      <c r="G922" s="3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  <c r="Z922" s="3"/>
    </row>
    <row r="923" spans="1:26">
      <c r="A923" s="3"/>
      <c r="B923" s="3"/>
      <c r="C923" s="3"/>
      <c r="D923" s="3"/>
      <c r="E923" s="3"/>
      <c r="F923" s="3"/>
      <c r="G923" s="3"/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  <c r="Z923" s="3"/>
    </row>
    <row r="924" spans="1:26">
      <c r="A924" s="3"/>
      <c r="B924" s="3"/>
      <c r="C924" s="3"/>
      <c r="D924" s="3"/>
      <c r="E924" s="3"/>
      <c r="F924" s="3"/>
      <c r="G924" s="3"/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  <c r="Z924" s="3"/>
    </row>
    <row r="925" spans="1:26">
      <c r="A925" s="3"/>
      <c r="B925" s="3"/>
      <c r="C925" s="3"/>
      <c r="D925" s="3"/>
      <c r="E925" s="3"/>
      <c r="F925" s="3"/>
      <c r="G925" s="3"/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  <c r="Z925" s="3"/>
    </row>
    <row r="926" spans="1:26">
      <c r="A926" s="3"/>
      <c r="B926" s="3"/>
      <c r="C926" s="3"/>
      <c r="D926" s="3"/>
      <c r="E926" s="3"/>
      <c r="F926" s="3"/>
      <c r="G926" s="3"/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  <c r="Z926" s="3"/>
    </row>
    <row r="927" spans="1:26">
      <c r="A927" s="3"/>
      <c r="B927" s="3"/>
      <c r="C927" s="3"/>
      <c r="D927" s="3"/>
      <c r="E927" s="3"/>
      <c r="F927" s="3"/>
      <c r="G927" s="3"/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  <c r="Z927" s="3"/>
    </row>
    <row r="928" spans="1:26">
      <c r="A928" s="3"/>
      <c r="B928" s="3"/>
      <c r="C928" s="3"/>
      <c r="D928" s="3"/>
      <c r="E928" s="3"/>
      <c r="F928" s="3"/>
      <c r="G928" s="3"/>
      <c r="H928" s="3"/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3"/>
      <c r="Z928" s="3"/>
    </row>
    <row r="929" spans="1:26">
      <c r="A929" s="3"/>
      <c r="B929" s="3"/>
      <c r="C929" s="3"/>
      <c r="D929" s="3"/>
      <c r="E929" s="3"/>
      <c r="F929" s="3"/>
      <c r="G929" s="3"/>
      <c r="H929" s="3"/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  <c r="Y929" s="3"/>
      <c r="Z929" s="3"/>
    </row>
    <row r="930" spans="1:26">
      <c r="A930" s="3"/>
      <c r="B930" s="3"/>
      <c r="C930" s="3"/>
      <c r="D930" s="3"/>
      <c r="E930" s="3"/>
      <c r="F930" s="3"/>
      <c r="G930" s="3"/>
      <c r="H930" s="3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  <c r="Z930" s="3"/>
    </row>
    <row r="931" spans="1:26">
      <c r="A931" s="3"/>
      <c r="B931" s="3"/>
      <c r="C931" s="3"/>
      <c r="D931" s="3"/>
      <c r="E931" s="3"/>
      <c r="F931" s="3"/>
      <c r="G931" s="3"/>
      <c r="H931" s="3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  <c r="Z931" s="3"/>
    </row>
    <row r="932" spans="1:26">
      <c r="A932" s="3"/>
      <c r="B932" s="3"/>
      <c r="C932" s="3"/>
      <c r="D932" s="3"/>
      <c r="E932" s="3"/>
      <c r="F932" s="3"/>
      <c r="G932" s="3"/>
      <c r="H932" s="3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  <c r="Z932" s="3"/>
    </row>
    <row r="933" spans="1:26">
      <c r="A933" s="3"/>
      <c r="B933" s="3"/>
      <c r="C933" s="3"/>
      <c r="D933" s="3"/>
      <c r="E933" s="3"/>
      <c r="F933" s="3"/>
      <c r="G933" s="3"/>
      <c r="H933" s="3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  <c r="Z933" s="3"/>
    </row>
    <row r="934" spans="1:26">
      <c r="A934" s="3"/>
      <c r="B934" s="3"/>
      <c r="C934" s="3"/>
      <c r="D934" s="3"/>
      <c r="E934" s="3"/>
      <c r="F934" s="3"/>
      <c r="G934" s="3"/>
      <c r="H934" s="3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  <c r="Z934" s="3"/>
    </row>
    <row r="935" spans="1:26">
      <c r="A935" s="3"/>
      <c r="B935" s="3"/>
      <c r="C935" s="3"/>
      <c r="D935" s="3"/>
      <c r="E935" s="3"/>
      <c r="F935" s="3"/>
      <c r="G935" s="3"/>
      <c r="H935" s="3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  <c r="Z935" s="3"/>
    </row>
    <row r="936" spans="1:26">
      <c r="A936" s="3"/>
      <c r="B936" s="3"/>
      <c r="C936" s="3"/>
      <c r="D936" s="3"/>
      <c r="E936" s="3"/>
      <c r="F936" s="3"/>
      <c r="G936" s="3"/>
      <c r="H936" s="3"/>
      <c r="I936" s="3"/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  <c r="Y936" s="3"/>
      <c r="Z936" s="3"/>
    </row>
    <row r="937" spans="1:26">
      <c r="A937" s="3"/>
      <c r="B937" s="3"/>
      <c r="C937" s="3"/>
      <c r="D937" s="3"/>
      <c r="E937" s="3"/>
      <c r="F937" s="3"/>
      <c r="G937" s="3"/>
      <c r="H937" s="3"/>
      <c r="I937" s="3"/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3"/>
      <c r="Y937" s="3"/>
      <c r="Z937" s="3"/>
    </row>
    <row r="938" spans="1:26">
      <c r="A938" s="3"/>
      <c r="B938" s="3"/>
      <c r="C938" s="3"/>
      <c r="D938" s="3"/>
      <c r="E938" s="3"/>
      <c r="F938" s="3"/>
      <c r="G938" s="3"/>
      <c r="H938" s="3"/>
      <c r="I938" s="3"/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  <c r="Y938" s="3"/>
      <c r="Z938" s="3"/>
    </row>
    <row r="939" spans="1:26">
      <c r="A939" s="3"/>
      <c r="B939" s="3"/>
      <c r="C939" s="3"/>
      <c r="D939" s="3"/>
      <c r="E939" s="3"/>
      <c r="F939" s="3"/>
      <c r="G939" s="3"/>
      <c r="H939" s="3"/>
      <c r="I939" s="3"/>
      <c r="J939" s="3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  <c r="Y939" s="3"/>
      <c r="Z939" s="3"/>
    </row>
    <row r="940" spans="1:26">
      <c r="A940" s="3"/>
      <c r="B940" s="3"/>
      <c r="C940" s="3"/>
      <c r="D940" s="3"/>
      <c r="E940" s="3"/>
      <c r="F940" s="3"/>
      <c r="G940" s="3"/>
      <c r="H940" s="3"/>
      <c r="I940" s="3"/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  <c r="Y940" s="3"/>
      <c r="Z940" s="3"/>
    </row>
    <row r="941" spans="1:26">
      <c r="A941" s="3"/>
      <c r="B941" s="3"/>
      <c r="C941" s="3"/>
      <c r="D941" s="3"/>
      <c r="E941" s="3"/>
      <c r="F941" s="3"/>
      <c r="G941" s="3"/>
      <c r="H941" s="3"/>
      <c r="I941" s="3"/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3"/>
      <c r="Y941" s="3"/>
      <c r="Z941" s="3"/>
    </row>
    <row r="942" spans="1:26">
      <c r="A942" s="3"/>
      <c r="B942" s="3"/>
      <c r="C942" s="3"/>
      <c r="D942" s="3"/>
      <c r="E942" s="3"/>
      <c r="F942" s="3"/>
      <c r="G942" s="3"/>
      <c r="H942" s="3"/>
      <c r="I942" s="3"/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3"/>
      <c r="Y942" s="3"/>
      <c r="Z942" s="3"/>
    </row>
    <row r="943" spans="1:26">
      <c r="A943" s="3"/>
      <c r="B943" s="3"/>
      <c r="C943" s="3"/>
      <c r="D943" s="3"/>
      <c r="E943" s="3"/>
      <c r="F943" s="3"/>
      <c r="G943" s="3"/>
      <c r="H943" s="3"/>
      <c r="I943" s="3"/>
      <c r="J943" s="3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3"/>
      <c r="Y943" s="3"/>
      <c r="Z943" s="3"/>
    </row>
    <row r="944" spans="1:26">
      <c r="A944" s="3"/>
      <c r="B944" s="3"/>
      <c r="C944" s="3"/>
      <c r="D944" s="3"/>
      <c r="E944" s="3"/>
      <c r="F944" s="3"/>
      <c r="G944" s="3"/>
      <c r="H944" s="3"/>
      <c r="I944" s="3"/>
      <c r="J944" s="3"/>
      <c r="K944" s="3"/>
      <c r="L944" s="3"/>
      <c r="M944" s="3"/>
      <c r="N944" s="3"/>
      <c r="O944" s="3"/>
      <c r="P944" s="3"/>
      <c r="Q944" s="3"/>
      <c r="R944" s="3"/>
      <c r="S944" s="3"/>
      <c r="T944" s="3"/>
      <c r="U944" s="3"/>
      <c r="V944" s="3"/>
      <c r="W944" s="3"/>
      <c r="X944" s="3"/>
      <c r="Y944" s="3"/>
      <c r="Z944" s="3"/>
    </row>
    <row r="945" spans="1:26">
      <c r="A945" s="3"/>
      <c r="B945" s="3"/>
      <c r="C945" s="3"/>
      <c r="D945" s="3"/>
      <c r="E945" s="3"/>
      <c r="F945" s="3"/>
      <c r="G945" s="3"/>
      <c r="H945" s="3"/>
      <c r="I945" s="3"/>
      <c r="J945" s="3"/>
      <c r="K945" s="3"/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"/>
      <c r="W945" s="3"/>
      <c r="X945" s="3"/>
      <c r="Y945" s="3"/>
      <c r="Z945" s="3"/>
    </row>
    <row r="946" spans="1:26">
      <c r="A946" s="3"/>
      <c r="B946" s="3"/>
      <c r="C946" s="3"/>
      <c r="D946" s="3"/>
      <c r="E946" s="3"/>
      <c r="F946" s="3"/>
      <c r="G946" s="3"/>
      <c r="H946" s="3"/>
      <c r="I946" s="3"/>
      <c r="J946" s="3"/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3"/>
      <c r="Y946" s="3"/>
      <c r="Z946" s="3"/>
    </row>
    <row r="947" spans="1:26">
      <c r="A947" s="3"/>
      <c r="B947" s="3"/>
      <c r="C947" s="3"/>
      <c r="D947" s="3"/>
      <c r="E947" s="3"/>
      <c r="F947" s="3"/>
      <c r="G947" s="3"/>
      <c r="H947" s="3"/>
      <c r="I947" s="3"/>
      <c r="J947" s="3"/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  <c r="X947" s="3"/>
      <c r="Y947" s="3"/>
      <c r="Z947" s="3"/>
    </row>
    <row r="948" spans="1:26">
      <c r="A948" s="3"/>
      <c r="B948" s="3"/>
      <c r="C948" s="3"/>
      <c r="D948" s="3"/>
      <c r="E948" s="3"/>
      <c r="F948" s="3"/>
      <c r="G948" s="3"/>
      <c r="H948" s="3"/>
      <c r="I948" s="3"/>
      <c r="J948" s="3"/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3"/>
      <c r="Y948" s="3"/>
      <c r="Z948" s="3"/>
    </row>
    <row r="949" spans="1:26">
      <c r="A949" s="3"/>
      <c r="B949" s="3"/>
      <c r="C949" s="3"/>
      <c r="D949" s="3"/>
      <c r="E949" s="3"/>
      <c r="F949" s="3"/>
      <c r="G949" s="3"/>
      <c r="H949" s="3"/>
      <c r="I949" s="3"/>
      <c r="J949" s="3"/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  <c r="X949" s="3"/>
      <c r="Y949" s="3"/>
      <c r="Z949" s="3"/>
    </row>
    <row r="950" spans="1:26">
      <c r="A950" s="3"/>
      <c r="B950" s="3"/>
      <c r="C950" s="3"/>
      <c r="D950" s="3"/>
      <c r="E950" s="3"/>
      <c r="F950" s="3"/>
      <c r="G950" s="3"/>
      <c r="H950" s="3"/>
      <c r="I950" s="3"/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  <c r="Y950" s="3"/>
      <c r="Z950" s="3"/>
    </row>
    <row r="951" spans="1:26">
      <c r="A951" s="3"/>
      <c r="B951" s="3"/>
      <c r="C951" s="3"/>
      <c r="D951" s="3"/>
      <c r="E951" s="3"/>
      <c r="F951" s="3"/>
      <c r="G951" s="3"/>
      <c r="H951" s="3"/>
      <c r="I951" s="3"/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  <c r="Y951" s="3"/>
      <c r="Z951" s="3"/>
    </row>
    <row r="952" spans="1:26">
      <c r="A952" s="3"/>
      <c r="B952" s="3"/>
      <c r="C952" s="3"/>
      <c r="D952" s="3"/>
      <c r="E952" s="3"/>
      <c r="F952" s="3"/>
      <c r="G952" s="3"/>
      <c r="H952" s="3"/>
      <c r="I952" s="3"/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  <c r="Y952" s="3"/>
      <c r="Z952" s="3"/>
    </row>
    <row r="953" spans="1:26">
      <c r="A953" s="3"/>
      <c r="B953" s="3"/>
      <c r="C953" s="3"/>
      <c r="D953" s="3"/>
      <c r="E953" s="3"/>
      <c r="F953" s="3"/>
      <c r="G953" s="3"/>
      <c r="H953" s="3"/>
      <c r="I953" s="3"/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  <c r="Y953" s="3"/>
      <c r="Z953" s="3"/>
    </row>
    <row r="954" spans="1:26">
      <c r="A954" s="3"/>
      <c r="B954" s="3"/>
      <c r="C954" s="3"/>
      <c r="D954" s="3"/>
      <c r="E954" s="3"/>
      <c r="F954" s="3"/>
      <c r="G954" s="3"/>
      <c r="H954" s="3"/>
      <c r="I954" s="3"/>
      <c r="J954" s="3"/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  <c r="X954" s="3"/>
      <c r="Y954" s="3"/>
      <c r="Z954" s="3"/>
    </row>
    <row r="955" spans="1:26">
      <c r="A955" s="3"/>
      <c r="B955" s="3"/>
      <c r="C955" s="3"/>
      <c r="D955" s="3"/>
      <c r="E955" s="3"/>
      <c r="F955" s="3"/>
      <c r="G955" s="3"/>
      <c r="H955" s="3"/>
      <c r="I955" s="3"/>
      <c r="J955" s="3"/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  <c r="X955" s="3"/>
      <c r="Y955" s="3"/>
      <c r="Z955" s="3"/>
    </row>
    <row r="956" spans="1:26">
      <c r="A956" s="3"/>
      <c r="B956" s="3"/>
      <c r="C956" s="3"/>
      <c r="D956" s="3"/>
      <c r="E956" s="3"/>
      <c r="F956" s="3"/>
      <c r="G956" s="3"/>
      <c r="H956" s="3"/>
      <c r="I956" s="3"/>
      <c r="J956" s="3"/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  <c r="X956" s="3"/>
      <c r="Y956" s="3"/>
      <c r="Z956" s="3"/>
    </row>
    <row r="957" spans="1:26">
      <c r="A957" s="3"/>
      <c r="B957" s="3"/>
      <c r="C957" s="3"/>
      <c r="D957" s="3"/>
      <c r="E957" s="3"/>
      <c r="F957" s="3"/>
      <c r="G957" s="3"/>
      <c r="H957" s="3"/>
      <c r="I957" s="3"/>
      <c r="J957" s="3"/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3"/>
      <c r="X957" s="3"/>
      <c r="Y957" s="3"/>
      <c r="Z957" s="3"/>
    </row>
    <row r="958" spans="1:26">
      <c r="A958" s="3"/>
      <c r="B958" s="3"/>
      <c r="C958" s="3"/>
      <c r="D958" s="3"/>
      <c r="E958" s="3"/>
      <c r="F958" s="3"/>
      <c r="G958" s="3"/>
      <c r="H958" s="3"/>
      <c r="I958" s="3"/>
      <c r="J958" s="3"/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  <c r="X958" s="3"/>
      <c r="Y958" s="3"/>
      <c r="Z958" s="3"/>
    </row>
    <row r="959" spans="1:26">
      <c r="A959" s="3"/>
      <c r="B959" s="3"/>
      <c r="C959" s="3"/>
      <c r="D959" s="3"/>
      <c r="E959" s="3"/>
      <c r="F959" s="3"/>
      <c r="G959" s="3"/>
      <c r="H959" s="3"/>
      <c r="I959" s="3"/>
      <c r="J959" s="3"/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  <c r="W959" s="3"/>
      <c r="X959" s="3"/>
      <c r="Y959" s="3"/>
      <c r="Z959" s="3"/>
    </row>
    <row r="960" spans="1:26">
      <c r="A960" s="3"/>
      <c r="B960" s="3"/>
      <c r="C960" s="3"/>
      <c r="D960" s="3"/>
      <c r="E960" s="3"/>
      <c r="F960" s="3"/>
      <c r="G960" s="3"/>
      <c r="H960" s="3"/>
      <c r="I960" s="3"/>
      <c r="J960" s="3"/>
      <c r="K960" s="3"/>
      <c r="L960" s="3"/>
      <c r="M960" s="3"/>
      <c r="N960" s="3"/>
      <c r="O960" s="3"/>
      <c r="P960" s="3"/>
      <c r="Q960" s="3"/>
      <c r="R960" s="3"/>
      <c r="S960" s="3"/>
      <c r="T960" s="3"/>
      <c r="U960" s="3"/>
      <c r="V960" s="3"/>
      <c r="W960" s="3"/>
      <c r="X960" s="3"/>
      <c r="Y960" s="3"/>
      <c r="Z960" s="3"/>
    </row>
    <row r="961" spans="1:26">
      <c r="A961" s="3"/>
      <c r="B961" s="3"/>
      <c r="C961" s="3"/>
      <c r="D961" s="3"/>
      <c r="E961" s="3"/>
      <c r="F961" s="3"/>
      <c r="G961" s="3"/>
      <c r="H961" s="3"/>
      <c r="I961" s="3"/>
      <c r="J961" s="3"/>
      <c r="K961" s="3"/>
      <c r="L961" s="3"/>
      <c r="M961" s="3"/>
      <c r="N961" s="3"/>
      <c r="O961" s="3"/>
      <c r="P961" s="3"/>
      <c r="Q961" s="3"/>
      <c r="R961" s="3"/>
      <c r="S961" s="3"/>
      <c r="T961" s="3"/>
      <c r="U961" s="3"/>
      <c r="V961" s="3"/>
      <c r="W961" s="3"/>
      <c r="X961" s="3"/>
      <c r="Y961" s="3"/>
      <c r="Z961" s="3"/>
    </row>
    <row r="962" spans="1:26">
      <c r="A962" s="3"/>
      <c r="B962" s="3"/>
      <c r="C962" s="3"/>
      <c r="D962" s="3"/>
      <c r="E962" s="3"/>
      <c r="F962" s="3"/>
      <c r="G962" s="3"/>
      <c r="H962" s="3"/>
      <c r="I962" s="3"/>
      <c r="J962" s="3"/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  <c r="W962" s="3"/>
      <c r="X962" s="3"/>
      <c r="Y962" s="3"/>
      <c r="Z962" s="3"/>
    </row>
    <row r="963" spans="1:26">
      <c r="A963" s="3"/>
      <c r="B963" s="3"/>
      <c r="C963" s="3"/>
      <c r="D963" s="3"/>
      <c r="E963" s="3"/>
      <c r="F963" s="3"/>
      <c r="G963" s="3"/>
      <c r="H963" s="3"/>
      <c r="I963" s="3"/>
      <c r="J963" s="3"/>
      <c r="K963" s="3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  <c r="W963" s="3"/>
      <c r="X963" s="3"/>
      <c r="Y963" s="3"/>
      <c r="Z963" s="3"/>
    </row>
    <row r="964" spans="1:26">
      <c r="A964" s="3"/>
      <c r="B964" s="3"/>
      <c r="C964" s="3"/>
      <c r="D964" s="3"/>
      <c r="E964" s="3"/>
      <c r="F964" s="3"/>
      <c r="G964" s="3"/>
      <c r="H964" s="3"/>
      <c r="I964" s="3"/>
      <c r="J964" s="3"/>
      <c r="K964" s="3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  <c r="W964" s="3"/>
      <c r="X964" s="3"/>
      <c r="Y964" s="3"/>
      <c r="Z964" s="3"/>
    </row>
    <row r="965" spans="1:26">
      <c r="A965" s="3"/>
      <c r="B965" s="3"/>
      <c r="C965" s="3"/>
      <c r="D965" s="3"/>
      <c r="E965" s="3"/>
      <c r="F965" s="3"/>
      <c r="G965" s="3"/>
      <c r="H965" s="3"/>
      <c r="I965" s="3"/>
      <c r="J965" s="3"/>
      <c r="K965" s="3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  <c r="W965" s="3"/>
      <c r="X965" s="3"/>
      <c r="Y965" s="3"/>
      <c r="Z965" s="3"/>
    </row>
    <row r="966" spans="1:26">
      <c r="A966" s="3"/>
      <c r="B966" s="3"/>
      <c r="C966" s="3"/>
      <c r="D966" s="3"/>
      <c r="E966" s="3"/>
      <c r="F966" s="3"/>
      <c r="G966" s="3"/>
      <c r="H966" s="3"/>
      <c r="I966" s="3"/>
      <c r="J966" s="3"/>
      <c r="K966" s="3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  <c r="W966" s="3"/>
      <c r="X966" s="3"/>
      <c r="Y966" s="3"/>
      <c r="Z966" s="3"/>
    </row>
    <row r="967" spans="1:26">
      <c r="A967" s="3"/>
      <c r="B967" s="3"/>
      <c r="C967" s="3"/>
      <c r="D967" s="3"/>
      <c r="E967" s="3"/>
      <c r="F967" s="3"/>
      <c r="G967" s="3"/>
      <c r="H967" s="3"/>
      <c r="I967" s="3"/>
      <c r="J967" s="3"/>
      <c r="K967" s="3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  <c r="W967" s="3"/>
      <c r="X967" s="3"/>
      <c r="Y967" s="3"/>
      <c r="Z967" s="3"/>
    </row>
    <row r="968" spans="1:26">
      <c r="A968" s="3"/>
      <c r="B968" s="3"/>
      <c r="C968" s="3"/>
      <c r="D968" s="3"/>
      <c r="E968" s="3"/>
      <c r="F968" s="3"/>
      <c r="G968" s="3"/>
      <c r="H968" s="3"/>
      <c r="I968" s="3"/>
      <c r="J968" s="3"/>
      <c r="K968" s="3"/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/>
      <c r="W968" s="3"/>
      <c r="X968" s="3"/>
      <c r="Y968" s="3"/>
      <c r="Z968" s="3"/>
    </row>
    <row r="969" spans="1:26">
      <c r="A969" s="3"/>
      <c r="B969" s="3"/>
      <c r="C969" s="3"/>
      <c r="D969" s="3"/>
      <c r="E969" s="3"/>
      <c r="F969" s="3"/>
      <c r="G969" s="3"/>
      <c r="H969" s="3"/>
      <c r="I969" s="3"/>
      <c r="J969" s="3"/>
      <c r="K969" s="3"/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/>
      <c r="W969" s="3"/>
      <c r="X969" s="3"/>
      <c r="Y969" s="3"/>
      <c r="Z969" s="3"/>
    </row>
    <row r="970" spans="1:26">
      <c r="A970" s="3"/>
      <c r="B970" s="3"/>
      <c r="C970" s="3"/>
      <c r="D970" s="3"/>
      <c r="E970" s="3"/>
      <c r="F970" s="3"/>
      <c r="G970" s="3"/>
      <c r="H970" s="3"/>
      <c r="I970" s="3"/>
      <c r="J970" s="3"/>
      <c r="K970" s="3"/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"/>
      <c r="W970" s="3"/>
      <c r="X970" s="3"/>
      <c r="Y970" s="3"/>
      <c r="Z970" s="3"/>
    </row>
    <row r="971" spans="1:26">
      <c r="A971" s="3"/>
      <c r="B971" s="3"/>
      <c r="C971" s="3"/>
      <c r="D971" s="3"/>
      <c r="E971" s="3"/>
      <c r="F971" s="3"/>
      <c r="G971" s="3"/>
      <c r="H971" s="3"/>
      <c r="I971" s="3"/>
      <c r="J971" s="3"/>
      <c r="K971" s="3"/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3"/>
      <c r="W971" s="3"/>
      <c r="X971" s="3"/>
      <c r="Y971" s="3"/>
      <c r="Z971" s="3"/>
    </row>
    <row r="972" spans="1:26">
      <c r="A972" s="3"/>
      <c r="B972" s="3"/>
      <c r="C972" s="3"/>
      <c r="D972" s="3"/>
      <c r="E972" s="3"/>
      <c r="F972" s="3"/>
      <c r="G972" s="3"/>
      <c r="H972" s="3"/>
      <c r="I972" s="3"/>
      <c r="J972" s="3"/>
      <c r="K972" s="3"/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  <c r="W972" s="3"/>
      <c r="X972" s="3"/>
      <c r="Y972" s="3"/>
      <c r="Z972" s="3"/>
    </row>
    <row r="973" spans="1:26">
      <c r="A973" s="3"/>
      <c r="B973" s="3"/>
      <c r="C973" s="3"/>
      <c r="D973" s="3"/>
      <c r="E973" s="3"/>
      <c r="F973" s="3"/>
      <c r="G973" s="3"/>
      <c r="H973" s="3"/>
      <c r="I973" s="3"/>
      <c r="J973" s="3"/>
      <c r="K973" s="3"/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/>
      <c r="W973" s="3"/>
      <c r="X973" s="3"/>
      <c r="Y973" s="3"/>
      <c r="Z973" s="3"/>
    </row>
    <row r="974" spans="1:26">
      <c r="A974" s="3"/>
      <c r="B974" s="3"/>
      <c r="C974" s="3"/>
      <c r="D974" s="3"/>
      <c r="E974" s="3"/>
      <c r="F974" s="3"/>
      <c r="G974" s="3"/>
      <c r="H974" s="3"/>
      <c r="I974" s="3"/>
      <c r="J974" s="3"/>
      <c r="K974" s="3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  <c r="W974" s="3"/>
      <c r="X974" s="3"/>
      <c r="Y974" s="3"/>
      <c r="Z974" s="3"/>
    </row>
    <row r="975" spans="1:26">
      <c r="A975" s="3"/>
      <c r="B975" s="3"/>
      <c r="C975" s="3"/>
      <c r="D975" s="3"/>
      <c r="E975" s="3"/>
      <c r="F975" s="3"/>
      <c r="G975" s="3"/>
      <c r="H975" s="3"/>
      <c r="I975" s="3"/>
      <c r="J975" s="3"/>
      <c r="K975" s="3"/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  <c r="W975" s="3"/>
      <c r="X975" s="3"/>
      <c r="Y975" s="3"/>
      <c r="Z975" s="3"/>
    </row>
    <row r="976" spans="1:26">
      <c r="A976" s="3"/>
      <c r="B976" s="3"/>
      <c r="C976" s="3"/>
      <c r="D976" s="3"/>
      <c r="E976" s="3"/>
      <c r="F976" s="3"/>
      <c r="G976" s="3"/>
      <c r="H976" s="3"/>
      <c r="I976" s="3"/>
      <c r="J976" s="3"/>
      <c r="K976" s="3"/>
      <c r="L976" s="3"/>
      <c r="M976" s="3"/>
      <c r="N976" s="3"/>
      <c r="O976" s="3"/>
      <c r="P976" s="3"/>
      <c r="Q976" s="3"/>
      <c r="R976" s="3"/>
      <c r="S976" s="3"/>
      <c r="T976" s="3"/>
      <c r="U976" s="3"/>
      <c r="V976" s="3"/>
      <c r="W976" s="3"/>
      <c r="X976" s="3"/>
      <c r="Y976" s="3"/>
      <c r="Z976" s="3"/>
    </row>
    <row r="977" spans="1:26">
      <c r="A977" s="3"/>
      <c r="B977" s="3"/>
      <c r="C977" s="3"/>
      <c r="D977" s="3"/>
      <c r="E977" s="3"/>
      <c r="F977" s="3"/>
      <c r="G977" s="3"/>
      <c r="H977" s="3"/>
      <c r="I977" s="3"/>
      <c r="J977" s="3"/>
      <c r="K977" s="3"/>
      <c r="L977" s="3"/>
      <c r="M977" s="3"/>
      <c r="N977" s="3"/>
      <c r="O977" s="3"/>
      <c r="P977" s="3"/>
      <c r="Q977" s="3"/>
      <c r="R977" s="3"/>
      <c r="S977" s="3"/>
      <c r="T977" s="3"/>
      <c r="U977" s="3"/>
      <c r="V977" s="3"/>
      <c r="W977" s="3"/>
      <c r="X977" s="3"/>
      <c r="Y977" s="3"/>
      <c r="Z977" s="3"/>
    </row>
    <row r="978" spans="1:26">
      <c r="A978" s="3"/>
      <c r="B978" s="3"/>
      <c r="C978" s="3"/>
      <c r="D978" s="3"/>
      <c r="E978" s="3"/>
      <c r="F978" s="3"/>
      <c r="G978" s="3"/>
      <c r="H978" s="3"/>
      <c r="I978" s="3"/>
      <c r="J978" s="3"/>
      <c r="K978" s="3"/>
      <c r="L978" s="3"/>
      <c r="M978" s="3"/>
      <c r="N978" s="3"/>
      <c r="O978" s="3"/>
      <c r="P978" s="3"/>
      <c r="Q978" s="3"/>
      <c r="R978" s="3"/>
      <c r="S978" s="3"/>
      <c r="T978" s="3"/>
      <c r="U978" s="3"/>
      <c r="V978" s="3"/>
      <c r="W978" s="3"/>
      <c r="X978" s="3"/>
      <c r="Y978" s="3"/>
      <c r="Z978" s="3"/>
    </row>
    <row r="979" spans="1:26">
      <c r="A979" s="3"/>
      <c r="B979" s="3"/>
      <c r="C979" s="3"/>
      <c r="D979" s="3"/>
      <c r="E979" s="3"/>
      <c r="F979" s="3"/>
      <c r="G979" s="3"/>
      <c r="H979" s="3"/>
      <c r="I979" s="3"/>
      <c r="J979" s="3"/>
      <c r="K979" s="3"/>
      <c r="L979" s="3"/>
      <c r="M979" s="3"/>
      <c r="N979" s="3"/>
      <c r="O979" s="3"/>
      <c r="P979" s="3"/>
      <c r="Q979" s="3"/>
      <c r="R979" s="3"/>
      <c r="S979" s="3"/>
      <c r="T979" s="3"/>
      <c r="U979" s="3"/>
      <c r="V979" s="3"/>
      <c r="W979" s="3"/>
      <c r="X979" s="3"/>
      <c r="Y979" s="3"/>
      <c r="Z979" s="3"/>
    </row>
    <row r="980" spans="1:26">
      <c r="A980" s="3"/>
      <c r="B980" s="3"/>
      <c r="C980" s="3"/>
      <c r="D980" s="3"/>
      <c r="E980" s="3"/>
      <c r="F980" s="3"/>
      <c r="G980" s="3"/>
      <c r="H980" s="3"/>
      <c r="I980" s="3"/>
      <c r="J980" s="3"/>
      <c r="K980" s="3"/>
      <c r="L980" s="3"/>
      <c r="M980" s="3"/>
      <c r="N980" s="3"/>
      <c r="O980" s="3"/>
      <c r="P980" s="3"/>
      <c r="Q980" s="3"/>
      <c r="R980" s="3"/>
      <c r="S980" s="3"/>
      <c r="T980" s="3"/>
      <c r="U980" s="3"/>
      <c r="V980" s="3"/>
      <c r="W980" s="3"/>
      <c r="X980" s="3"/>
      <c r="Y980" s="3"/>
      <c r="Z980" s="3"/>
    </row>
    <row r="981" spans="1:26">
      <c r="A981" s="3"/>
      <c r="B981" s="3"/>
      <c r="C981" s="3"/>
      <c r="D981" s="3"/>
      <c r="E981" s="3"/>
      <c r="F981" s="3"/>
      <c r="G981" s="3"/>
      <c r="H981" s="3"/>
      <c r="I981" s="3"/>
      <c r="J981" s="3"/>
      <c r="K981" s="3"/>
      <c r="L981" s="3"/>
      <c r="M981" s="3"/>
      <c r="N981" s="3"/>
      <c r="O981" s="3"/>
      <c r="P981" s="3"/>
      <c r="Q981" s="3"/>
      <c r="R981" s="3"/>
      <c r="S981" s="3"/>
      <c r="T981" s="3"/>
      <c r="U981" s="3"/>
      <c r="V981" s="3"/>
      <c r="W981" s="3"/>
      <c r="X981" s="3"/>
      <c r="Y981" s="3"/>
      <c r="Z981" s="3"/>
    </row>
    <row r="982" spans="1:26">
      <c r="A982" s="3"/>
      <c r="B982" s="3"/>
      <c r="C982" s="3"/>
      <c r="D982" s="3"/>
      <c r="E982" s="3"/>
      <c r="F982" s="3"/>
      <c r="G982" s="3"/>
      <c r="H982" s="3"/>
      <c r="I982" s="3"/>
      <c r="J982" s="3"/>
      <c r="K982" s="3"/>
      <c r="L982" s="3"/>
      <c r="M982" s="3"/>
      <c r="N982" s="3"/>
      <c r="O982" s="3"/>
      <c r="P982" s="3"/>
      <c r="Q982" s="3"/>
      <c r="R982" s="3"/>
      <c r="S982" s="3"/>
      <c r="T982" s="3"/>
      <c r="U982" s="3"/>
      <c r="V982" s="3"/>
      <c r="W982" s="3"/>
      <c r="X982" s="3"/>
      <c r="Y982" s="3"/>
      <c r="Z982" s="3"/>
    </row>
    <row r="983" spans="1:26">
      <c r="A983" s="3"/>
      <c r="B983" s="3"/>
      <c r="C983" s="3"/>
      <c r="D983" s="3"/>
      <c r="E983" s="3"/>
      <c r="F983" s="3"/>
      <c r="G983" s="3"/>
      <c r="H983" s="3"/>
      <c r="I983" s="3"/>
      <c r="J983" s="3"/>
      <c r="K983" s="3"/>
      <c r="L983" s="3"/>
      <c r="M983" s="3"/>
      <c r="N983" s="3"/>
      <c r="O983" s="3"/>
      <c r="P983" s="3"/>
      <c r="Q983" s="3"/>
      <c r="R983" s="3"/>
      <c r="S983" s="3"/>
      <c r="T983" s="3"/>
      <c r="U983" s="3"/>
      <c r="V983" s="3"/>
      <c r="W983" s="3"/>
      <c r="X983" s="3"/>
      <c r="Y983" s="3"/>
      <c r="Z983" s="3"/>
    </row>
    <row r="984" spans="1:26">
      <c r="A984" s="3"/>
      <c r="B984" s="3"/>
      <c r="C984" s="3"/>
      <c r="D984" s="3"/>
      <c r="E984" s="3"/>
      <c r="F984" s="3"/>
      <c r="G984" s="3"/>
      <c r="H984" s="3"/>
      <c r="I984" s="3"/>
      <c r="J984" s="3"/>
      <c r="K984" s="3"/>
      <c r="L984" s="3"/>
      <c r="M984" s="3"/>
      <c r="N984" s="3"/>
      <c r="O984" s="3"/>
      <c r="P984" s="3"/>
      <c r="Q984" s="3"/>
      <c r="R984" s="3"/>
      <c r="S984" s="3"/>
      <c r="T984" s="3"/>
      <c r="U984" s="3"/>
      <c r="V984" s="3"/>
      <c r="W984" s="3"/>
      <c r="X984" s="3"/>
      <c r="Y984" s="3"/>
      <c r="Z984" s="3"/>
    </row>
    <row r="985" spans="1:26">
      <c r="A985" s="3"/>
      <c r="B985" s="3"/>
      <c r="C985" s="3"/>
      <c r="D985" s="3"/>
      <c r="E985" s="3"/>
      <c r="F985" s="3"/>
      <c r="G985" s="3"/>
      <c r="H985" s="3"/>
      <c r="I985" s="3"/>
      <c r="J985" s="3"/>
      <c r="K985" s="3"/>
      <c r="L985" s="3"/>
      <c r="M985" s="3"/>
      <c r="N985" s="3"/>
      <c r="O985" s="3"/>
      <c r="P985" s="3"/>
      <c r="Q985" s="3"/>
      <c r="R985" s="3"/>
      <c r="S985" s="3"/>
      <c r="T985" s="3"/>
      <c r="U985" s="3"/>
      <c r="V985" s="3"/>
      <c r="W985" s="3"/>
      <c r="X985" s="3"/>
      <c r="Y985" s="3"/>
      <c r="Z985" s="3"/>
    </row>
    <row r="986" spans="1:26">
      <c r="A986" s="3"/>
      <c r="B986" s="3"/>
      <c r="C986" s="3"/>
      <c r="D986" s="3"/>
      <c r="E986" s="3"/>
      <c r="F986" s="3"/>
      <c r="G986" s="3"/>
      <c r="H986" s="3"/>
      <c r="I986" s="3"/>
      <c r="J986" s="3"/>
      <c r="K986" s="3"/>
      <c r="L986" s="3"/>
      <c r="M986" s="3"/>
      <c r="N986" s="3"/>
      <c r="O986" s="3"/>
      <c r="P986" s="3"/>
      <c r="Q986" s="3"/>
      <c r="R986" s="3"/>
      <c r="S986" s="3"/>
      <c r="T986" s="3"/>
      <c r="U986" s="3"/>
      <c r="V986" s="3"/>
      <c r="W986" s="3"/>
      <c r="X986" s="3"/>
      <c r="Y986" s="3"/>
      <c r="Z986" s="3"/>
    </row>
    <row r="987" spans="1:26">
      <c r="A987" s="3"/>
      <c r="B987" s="3"/>
      <c r="C987" s="3"/>
      <c r="D987" s="3"/>
      <c r="E987" s="3"/>
      <c r="F987" s="3"/>
      <c r="G987" s="3"/>
      <c r="H987" s="3"/>
      <c r="I987" s="3"/>
      <c r="J987" s="3"/>
      <c r="K987" s="3"/>
      <c r="L987" s="3"/>
      <c r="M987" s="3"/>
      <c r="N987" s="3"/>
      <c r="O987" s="3"/>
      <c r="P987" s="3"/>
      <c r="Q987" s="3"/>
      <c r="R987" s="3"/>
      <c r="S987" s="3"/>
      <c r="T987" s="3"/>
      <c r="U987" s="3"/>
      <c r="V987" s="3"/>
      <c r="W987" s="3"/>
      <c r="X987" s="3"/>
      <c r="Y987" s="3"/>
      <c r="Z987" s="3"/>
    </row>
    <row r="988" spans="1:26">
      <c r="A988" s="3"/>
      <c r="B988" s="3"/>
      <c r="C988" s="3"/>
      <c r="D988" s="3"/>
      <c r="E988" s="3"/>
      <c r="F988" s="3"/>
      <c r="G988" s="3"/>
      <c r="H988" s="3"/>
      <c r="I988" s="3"/>
      <c r="J988" s="3"/>
      <c r="K988" s="3"/>
      <c r="L988" s="3"/>
      <c r="M988" s="3"/>
      <c r="N988" s="3"/>
      <c r="O988" s="3"/>
      <c r="P988" s="3"/>
      <c r="Q988" s="3"/>
      <c r="R988" s="3"/>
      <c r="S988" s="3"/>
      <c r="T988" s="3"/>
      <c r="U988" s="3"/>
      <c r="V988" s="3"/>
      <c r="W988" s="3"/>
      <c r="X988" s="3"/>
      <c r="Y988" s="3"/>
      <c r="Z988" s="3"/>
    </row>
    <row r="989" spans="1:26">
      <c r="A989" s="3"/>
      <c r="B989" s="3"/>
      <c r="C989" s="3"/>
      <c r="D989" s="3"/>
      <c r="E989" s="3"/>
      <c r="F989" s="3"/>
      <c r="G989" s="3"/>
      <c r="H989" s="3"/>
      <c r="I989" s="3"/>
      <c r="J989" s="3"/>
      <c r="K989" s="3"/>
      <c r="L989" s="3"/>
      <c r="M989" s="3"/>
      <c r="N989" s="3"/>
      <c r="O989" s="3"/>
      <c r="P989" s="3"/>
      <c r="Q989" s="3"/>
      <c r="R989" s="3"/>
      <c r="S989" s="3"/>
      <c r="T989" s="3"/>
      <c r="U989" s="3"/>
      <c r="V989" s="3"/>
      <c r="W989" s="3"/>
      <c r="X989" s="3"/>
      <c r="Y989" s="3"/>
      <c r="Z989" s="3"/>
    </row>
    <row r="990" spans="1:26">
      <c r="A990" s="3"/>
      <c r="B990" s="3"/>
      <c r="C990" s="3"/>
      <c r="D990" s="3"/>
      <c r="E990" s="3"/>
      <c r="F990" s="3"/>
      <c r="G990" s="3"/>
      <c r="H990" s="3"/>
      <c r="I990" s="3"/>
      <c r="J990" s="3"/>
      <c r="K990" s="3"/>
      <c r="L990" s="3"/>
      <c r="M990" s="3"/>
      <c r="N990" s="3"/>
      <c r="O990" s="3"/>
      <c r="P990" s="3"/>
      <c r="Q990" s="3"/>
      <c r="R990" s="3"/>
      <c r="S990" s="3"/>
      <c r="T990" s="3"/>
      <c r="U990" s="3"/>
      <c r="V990" s="3"/>
      <c r="W990" s="3"/>
      <c r="X990" s="3"/>
      <c r="Y990" s="3"/>
      <c r="Z990" s="3"/>
    </row>
    <row r="991" spans="1:26">
      <c r="A991" s="3"/>
      <c r="B991" s="3"/>
      <c r="C991" s="3"/>
      <c r="D991" s="3"/>
      <c r="E991" s="3"/>
      <c r="F991" s="3"/>
      <c r="G991" s="3"/>
      <c r="H991" s="3"/>
      <c r="I991" s="3"/>
      <c r="J991" s="3"/>
      <c r="K991" s="3"/>
      <c r="L991" s="3"/>
      <c r="M991" s="3"/>
      <c r="N991" s="3"/>
      <c r="O991" s="3"/>
      <c r="P991" s="3"/>
      <c r="Q991" s="3"/>
      <c r="R991" s="3"/>
      <c r="S991" s="3"/>
      <c r="T991" s="3"/>
      <c r="U991" s="3"/>
      <c r="V991" s="3"/>
      <c r="W991" s="3"/>
      <c r="X991" s="3"/>
      <c r="Y991" s="3"/>
      <c r="Z991" s="3"/>
    </row>
    <row r="992" spans="1:26">
      <c r="A992" s="3"/>
      <c r="B992" s="3"/>
      <c r="C992" s="3"/>
      <c r="D992" s="3"/>
      <c r="E992" s="3"/>
      <c r="F992" s="3"/>
      <c r="G992" s="3"/>
      <c r="H992" s="3"/>
      <c r="I992" s="3"/>
      <c r="J992" s="3"/>
      <c r="K992" s="3"/>
      <c r="L992" s="3"/>
      <c r="M992" s="3"/>
      <c r="N992" s="3"/>
      <c r="O992" s="3"/>
      <c r="P992" s="3"/>
      <c r="Q992" s="3"/>
      <c r="R992" s="3"/>
      <c r="S992" s="3"/>
      <c r="T992" s="3"/>
      <c r="U992" s="3"/>
      <c r="V992" s="3"/>
      <c r="W992" s="3"/>
      <c r="X992" s="3"/>
      <c r="Y992" s="3"/>
      <c r="Z992" s="3"/>
    </row>
    <row r="993" spans="1:26">
      <c r="A993" s="3"/>
      <c r="B993" s="3"/>
      <c r="C993" s="3"/>
      <c r="D993" s="3"/>
      <c r="E993" s="3"/>
      <c r="F993" s="3"/>
      <c r="G993" s="3"/>
      <c r="H993" s="3"/>
      <c r="I993" s="3"/>
      <c r="J993" s="3"/>
      <c r="K993" s="3"/>
      <c r="L993" s="3"/>
      <c r="M993" s="3"/>
      <c r="N993" s="3"/>
      <c r="O993" s="3"/>
      <c r="P993" s="3"/>
      <c r="Q993" s="3"/>
      <c r="R993" s="3"/>
      <c r="S993" s="3"/>
      <c r="T993" s="3"/>
      <c r="U993" s="3"/>
      <c r="V993" s="3"/>
      <c r="W993" s="3"/>
      <c r="X993" s="3"/>
      <c r="Y993" s="3"/>
      <c r="Z993" s="3"/>
    </row>
    <row r="994" spans="1:26">
      <c r="A994" s="3"/>
      <c r="B994" s="3"/>
      <c r="C994" s="3"/>
      <c r="D994" s="3"/>
      <c r="E994" s="3"/>
      <c r="F994" s="3"/>
      <c r="G994" s="3"/>
      <c r="H994" s="3"/>
      <c r="I994" s="3"/>
      <c r="J994" s="3"/>
      <c r="K994" s="3"/>
      <c r="L994" s="3"/>
      <c r="M994" s="3"/>
      <c r="N994" s="3"/>
      <c r="O994" s="3"/>
      <c r="P994" s="3"/>
      <c r="Q994" s="3"/>
      <c r="R994" s="3"/>
      <c r="S994" s="3"/>
      <c r="T994" s="3"/>
      <c r="U994" s="3"/>
      <c r="V994" s="3"/>
      <c r="W994" s="3"/>
      <c r="X994" s="3"/>
      <c r="Y994" s="3"/>
      <c r="Z994" s="3"/>
    </row>
    <row r="995" spans="1:26">
      <c r="A995" s="3"/>
      <c r="B995" s="3"/>
      <c r="C995" s="3"/>
      <c r="D995" s="3"/>
      <c r="E995" s="3"/>
      <c r="F995" s="3"/>
      <c r="G995" s="3"/>
      <c r="H995" s="3"/>
      <c r="I995" s="3"/>
      <c r="J995" s="3"/>
      <c r="K995" s="3"/>
      <c r="L995" s="3"/>
      <c r="M995" s="3"/>
      <c r="N995" s="3"/>
      <c r="O995" s="3"/>
      <c r="P995" s="3"/>
      <c r="Q995" s="3"/>
      <c r="R995" s="3"/>
      <c r="S995" s="3"/>
      <c r="T995" s="3"/>
      <c r="U995" s="3"/>
      <c r="V995" s="3"/>
      <c r="W995" s="3"/>
      <c r="X995" s="3"/>
      <c r="Y995" s="3"/>
      <c r="Z995" s="3"/>
    </row>
    <row r="996" spans="1:26">
      <c r="A996" s="3"/>
      <c r="B996" s="3"/>
      <c r="C996" s="3"/>
      <c r="D996" s="3"/>
      <c r="E996" s="3"/>
      <c r="F996" s="3"/>
      <c r="G996" s="3"/>
      <c r="H996" s="3"/>
      <c r="I996" s="3"/>
      <c r="J996" s="3"/>
      <c r="K996" s="3"/>
      <c r="L996" s="3"/>
      <c r="M996" s="3"/>
      <c r="N996" s="3"/>
      <c r="O996" s="3"/>
      <c r="P996" s="3"/>
      <c r="Q996" s="3"/>
      <c r="R996" s="3"/>
      <c r="S996" s="3"/>
      <c r="T996" s="3"/>
      <c r="U996" s="3"/>
      <c r="V996" s="3"/>
      <c r="W996" s="3"/>
      <c r="X996" s="3"/>
      <c r="Y996" s="3"/>
      <c r="Z996" s="3"/>
    </row>
    <row r="997" spans="1:26">
      <c r="A997" s="3"/>
      <c r="B997" s="3"/>
      <c r="C997" s="3"/>
      <c r="D997" s="3"/>
      <c r="E997" s="3"/>
      <c r="F997" s="3"/>
      <c r="G997" s="3"/>
      <c r="H997" s="3"/>
      <c r="I997" s="3"/>
      <c r="J997" s="3"/>
      <c r="K997" s="3"/>
      <c r="L997" s="3"/>
      <c r="M997" s="3"/>
      <c r="N997" s="3"/>
      <c r="O997" s="3"/>
      <c r="P997" s="3"/>
      <c r="Q997" s="3"/>
      <c r="R997" s="3"/>
      <c r="S997" s="3"/>
      <c r="T997" s="3"/>
      <c r="U997" s="3"/>
      <c r="V997" s="3"/>
      <c r="W997" s="3"/>
      <c r="X997" s="3"/>
      <c r="Y997" s="3"/>
      <c r="Z997" s="3"/>
    </row>
    <row r="998" spans="1:26">
      <c r="A998" s="3"/>
      <c r="B998" s="3"/>
      <c r="C998" s="3"/>
      <c r="D998" s="3"/>
      <c r="E998" s="3"/>
      <c r="F998" s="3"/>
      <c r="G998" s="3"/>
      <c r="H998" s="3"/>
      <c r="I998" s="3"/>
      <c r="J998" s="3"/>
      <c r="K998" s="3"/>
      <c r="L998" s="3"/>
      <c r="M998" s="3"/>
      <c r="N998" s="3"/>
      <c r="O998" s="3"/>
      <c r="P998" s="3"/>
      <c r="Q998" s="3"/>
      <c r="R998" s="3"/>
      <c r="S998" s="3"/>
      <c r="T998" s="3"/>
      <c r="U998" s="3"/>
      <c r="V998" s="3"/>
      <c r="W998" s="3"/>
      <c r="X998" s="3"/>
      <c r="Y998" s="3"/>
      <c r="Z998" s="3"/>
    </row>
    <row r="999" spans="1:26">
      <c r="A999" s="3"/>
      <c r="B999" s="3"/>
      <c r="C999" s="3"/>
      <c r="D999" s="3"/>
      <c r="E999" s="3"/>
      <c r="F999" s="3"/>
      <c r="G999" s="3"/>
      <c r="H999" s="3"/>
      <c r="I999" s="3"/>
      <c r="J999" s="3"/>
      <c r="K999" s="3"/>
      <c r="L999" s="3"/>
      <c r="M999" s="3"/>
      <c r="N999" s="3"/>
      <c r="O999" s="3"/>
      <c r="P999" s="3"/>
      <c r="Q999" s="3"/>
      <c r="R999" s="3"/>
      <c r="S999" s="3"/>
      <c r="T999" s="3"/>
      <c r="U999" s="3"/>
      <c r="V999" s="3"/>
      <c r="W999" s="3"/>
      <c r="X999" s="3"/>
      <c r="Y999" s="3"/>
      <c r="Z999" s="3"/>
    </row>
    <row r="1000" spans="1:26">
      <c r="A1000" s="3"/>
      <c r="B1000" s="3"/>
      <c r="C1000" s="3"/>
      <c r="D1000" s="3"/>
      <c r="E1000" s="3"/>
      <c r="F1000" s="3"/>
      <c r="G1000" s="3"/>
      <c r="H1000" s="3"/>
      <c r="I1000" s="3"/>
      <c r="J1000" s="3"/>
      <c r="K1000" s="3"/>
      <c r="L1000" s="3"/>
      <c r="M1000" s="3"/>
      <c r="N1000" s="3"/>
      <c r="O1000" s="3"/>
      <c r="P1000" s="3"/>
      <c r="Q1000" s="3"/>
      <c r="R1000" s="3"/>
      <c r="S1000" s="3"/>
      <c r="T1000" s="3"/>
      <c r="U1000" s="3"/>
      <c r="V1000" s="3"/>
      <c r="W1000" s="3"/>
      <c r="X1000" s="3"/>
      <c r="Y1000" s="3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D38688-EA2C-4D70-81C8-1E01AB9011DD}">
  <dimension ref="A1:N32"/>
  <sheetViews>
    <sheetView workbookViewId="0">
      <selection activeCell="M32" sqref="M2:M32"/>
    </sheetView>
  </sheetViews>
  <sheetFormatPr defaultRowHeight="15"/>
  <cols>
    <col min="1" max="1" width="16.85546875" customWidth="1"/>
    <col min="2" max="2" width="15.7109375" bestFit="1" customWidth="1"/>
    <col min="3" max="3" width="14.140625" bestFit="1" customWidth="1"/>
    <col min="4" max="4" width="14.85546875" customWidth="1"/>
    <col min="5" max="5" width="10.7109375" bestFit="1" customWidth="1"/>
    <col min="6" max="6" width="18.5703125" customWidth="1"/>
    <col min="7" max="7" width="36.5703125" bestFit="1" customWidth="1"/>
    <col min="8" max="8" width="22.5703125" customWidth="1"/>
    <col min="9" max="9" width="15.28515625" customWidth="1"/>
    <col min="10" max="10" width="12" bestFit="1" customWidth="1"/>
    <col min="11" max="11" width="32.7109375" bestFit="1" customWidth="1"/>
    <col min="12" max="13" width="30.140625" customWidth="1"/>
    <col min="14" max="14" width="18.7109375" bestFit="1" customWidth="1"/>
  </cols>
  <sheetData>
    <row r="1" spans="1:14">
      <c r="A1" s="13" t="s">
        <v>19</v>
      </c>
      <c r="B1" s="6" t="s">
        <v>20</v>
      </c>
      <c r="C1" s="6" t="s">
        <v>21</v>
      </c>
      <c r="D1" s="6" t="s">
        <v>22</v>
      </c>
      <c r="E1" s="6" t="s">
        <v>23</v>
      </c>
      <c r="F1" s="7" t="s">
        <v>24</v>
      </c>
      <c r="G1" s="16" t="s">
        <v>25</v>
      </c>
      <c r="H1" s="18" t="s">
        <v>26</v>
      </c>
      <c r="I1" s="20" t="s">
        <v>27</v>
      </c>
      <c r="J1" s="7" t="s">
        <v>28</v>
      </c>
      <c r="K1" s="18" t="s">
        <v>29</v>
      </c>
      <c r="L1" s="22" t="s">
        <v>30</v>
      </c>
      <c r="M1" s="22" t="s">
        <v>31</v>
      </c>
      <c r="N1" s="18" t="s">
        <v>32</v>
      </c>
    </row>
    <row r="2" spans="1:14">
      <c r="A2" s="14" t="s">
        <v>33</v>
      </c>
      <c r="B2" s="8" t="s">
        <v>34</v>
      </c>
      <c r="C2" s="8" t="s">
        <v>35</v>
      </c>
      <c r="D2" s="8">
        <v>1000</v>
      </c>
      <c r="E2" s="8">
        <v>30</v>
      </c>
      <c r="F2" s="9" t="s">
        <v>36</v>
      </c>
      <c r="G2" s="12">
        <f t="shared" ref="G2:G32" si="0">IFERROR(IF(D2="", AVERAGE($D$2:$D$32), D2), "NA")</f>
        <v>1000</v>
      </c>
      <c r="H2" s="21" t="str">
        <f>PROPER(TRIM(B2))</f>
        <v>Laptop</v>
      </c>
      <c r="I2" s="19" t="str" cm="1">
        <f t="array" ref="I2">IF(F2="",
_xlfn.SWITCH($B$2,
"Laptop","Electronics",
"smartphone","Electronics",
"Tablet","Electronics",
"Headphones","Electronics",
"Blender","Kitchen",
"Coffee Maker","Kitchen",
"Sneakers","Fashion",
"T-shirt","Fashion",
""),
_xlfn.SWITCH(F2,
"Electroni","Electronics",
"Electronics","Electronics",
"Fashion","Fashion",
"Kitchen","Kitchen",
"Outdoor","Outdoor",
"Accessories","Accessories"))</f>
        <v>Electronics</v>
      </c>
      <c r="J2" s="9" t="str">
        <f>PROPER(I2)</f>
        <v>Electronics</v>
      </c>
      <c r="K2" s="19" t="str">
        <f>PROPER(CONCATENATE(B2,"-",C2))</f>
        <v>Laptop-Dell</v>
      </c>
      <c r="L2" s="23">
        <f t="shared" ref="L2:L32" si="1">DATE(2025,MONTH(DATEVALUE(MID(A2,4,3)&amp;"1")),LEFT(A2,2))</f>
        <v>45685</v>
      </c>
      <c r="M2" s="23" t="str">
        <f>TEXT(L2,"DD-MM-YYYY")</f>
        <v>28-01-2025</v>
      </c>
      <c r="N2" s="19" t="str">
        <f>RIGHT(A2,2)</f>
        <v>US</v>
      </c>
    </row>
    <row r="3" spans="1:14">
      <c r="A3" s="15" t="s">
        <v>37</v>
      </c>
      <c r="B3" s="10" t="s">
        <v>34</v>
      </c>
      <c r="C3" s="10" t="s">
        <v>38</v>
      </c>
      <c r="D3" s="10">
        <v>980</v>
      </c>
      <c r="E3" s="10">
        <v>10</v>
      </c>
      <c r="F3" s="11" t="s">
        <v>36</v>
      </c>
      <c r="G3" s="12">
        <f t="shared" si="0"/>
        <v>980</v>
      </c>
      <c r="H3" s="17" t="str">
        <f>PROPER(TRIM(B3))</f>
        <v>Laptop</v>
      </c>
      <c r="I3" s="19" t="str" cm="1">
        <f t="array" ref="I3">IF(F3="",
_xlfn.SWITCH($B$2,
"Laptop","Electronics",
"smartphone","Electronics",
"Tablet","Electronics",
"Headphones","Electronics",
"Blender","Kitchen",
"Coffee Maker","Kitchen",
"Sneakers","Fashion",
"T-shirt","Fashion",
""),
_xlfn.SWITCH(F3,
"Electroni","Electronics",
"Electronics","Electronics",
"Fashion","Fashion",
"Kitchen","Kitchen",
"Outdoor","Outdoor",
"Accessories","Accessories"))</f>
        <v>Electronics</v>
      </c>
      <c r="J3" s="9" t="str">
        <f>PROPER(I3)</f>
        <v>Electronics</v>
      </c>
      <c r="K3" s="19" t="str">
        <f>PROPER(CONCATENATE(B3,"-",C3))</f>
        <v>Laptop-Asus</v>
      </c>
      <c r="L3" s="23">
        <f t="shared" si="1"/>
        <v>45684</v>
      </c>
      <c r="M3" s="23" t="str">
        <f>TEXT(L3,"DD-MM-YYYY")</f>
        <v>27-01-2025</v>
      </c>
      <c r="N3" s="19" t="str">
        <f>RIGHT(A3,2)</f>
        <v>IT</v>
      </c>
    </row>
    <row r="4" spans="1:14">
      <c r="A4" s="14" t="s">
        <v>39</v>
      </c>
      <c r="B4" s="8" t="s">
        <v>40</v>
      </c>
      <c r="C4" s="8" t="s">
        <v>41</v>
      </c>
      <c r="D4" s="8">
        <v>950</v>
      </c>
      <c r="E4" s="8">
        <v>25</v>
      </c>
      <c r="F4" s="9" t="s">
        <v>36</v>
      </c>
      <c r="G4" s="12">
        <f t="shared" si="0"/>
        <v>950</v>
      </c>
      <c r="H4" s="17" t="str">
        <f>PROPER(TRIM(B4))</f>
        <v>Laptop</v>
      </c>
      <c r="I4" s="19" t="str" cm="1">
        <f t="array" ref="I4">IF(F4="",
_xlfn.SWITCH($B$2,
"Laptop","Electronics",
"smartphone","Electronics",
"Tablet","Electronics",
"Headphones","Electronics",
"Blender","Kitchen",
"Coffee Maker","Kitchen",
"Sneakers","Fashion",
"T-shirt","Fashion",
""),
_xlfn.SWITCH(F4,
"Electroni","Electronics",
"Electronics","Electronics",
"Fashion","Fashion",
"Kitchen","Kitchen",
"Outdoor","Outdoor",
"Accessories","Accessories"))</f>
        <v>Electronics</v>
      </c>
      <c r="J4" s="9" t="str">
        <f>PROPER(I4)</f>
        <v>Electronics</v>
      </c>
      <c r="K4" s="19" t="str">
        <f>PROPER(CONCATENATE(B4,"-",C4))</f>
        <v>Laptop-Hp</v>
      </c>
      <c r="L4" s="23">
        <f t="shared" si="1"/>
        <v>45825</v>
      </c>
      <c r="M4" s="23" t="str">
        <f>TEXT(L4,"DD-MM-YYYY")</f>
        <v>17-06-2025</v>
      </c>
      <c r="N4" s="19" t="str">
        <f>RIGHT(A4,2)</f>
        <v>IN</v>
      </c>
    </row>
    <row r="5" spans="1:14">
      <c r="A5" s="15" t="s">
        <v>42</v>
      </c>
      <c r="B5" s="10" t="s">
        <v>43</v>
      </c>
      <c r="C5" s="10" t="s">
        <v>44</v>
      </c>
      <c r="D5" s="10">
        <v>900</v>
      </c>
      <c r="E5" s="10">
        <v>25</v>
      </c>
      <c r="F5" s="11" t="s">
        <v>36</v>
      </c>
      <c r="G5" s="12">
        <f t="shared" si="0"/>
        <v>900</v>
      </c>
      <c r="H5" s="21" t="str">
        <f>PROPER(TRIM(B5))</f>
        <v>Smartphone</v>
      </c>
      <c r="I5" s="19" t="str" cm="1">
        <f t="array" ref="I5">IF(F5="",
_xlfn.SWITCH($B$2,
"Laptop","Electronics",
"smartphone","Electronics",
"Tablet","Electronics",
"Headphones","Electronics",
"Blender","Kitchen",
"Coffee Maker","Kitchen",
"Sneakers","Fashion",
"T-shirt","Fashion",
""),
_xlfn.SWITCH(F5,
"Electroni","Electronics",
"Electronics","Electronics",
"Fashion","Fashion",
"Kitchen","Kitchen",
"Outdoor","Outdoor",
"Accessories","Accessories"))</f>
        <v>Electronics</v>
      </c>
      <c r="J5" s="9" t="str">
        <f>PROPER(I5)</f>
        <v>Electronics</v>
      </c>
      <c r="K5" s="19" t="str">
        <f>PROPER(CONCATENATE(B5,"-",C5))</f>
        <v>Smartphone-Samsung</v>
      </c>
      <c r="L5" s="23">
        <f t="shared" si="1"/>
        <v>45758</v>
      </c>
      <c r="M5" s="23" t="str">
        <f>TEXT(L5,"DD-MM-YYYY")</f>
        <v>11-04-2025</v>
      </c>
      <c r="N5" s="19" t="str">
        <f>RIGHT(A5,2)</f>
        <v>US</v>
      </c>
    </row>
    <row r="6" spans="1:14">
      <c r="A6" s="14" t="s">
        <v>45</v>
      </c>
      <c r="B6" s="8" t="s">
        <v>46</v>
      </c>
      <c r="C6" s="8" t="s">
        <v>47</v>
      </c>
      <c r="D6" s="8">
        <v>800</v>
      </c>
      <c r="E6" s="8">
        <v>45</v>
      </c>
      <c r="F6" s="9" t="s">
        <v>36</v>
      </c>
      <c r="G6" s="12">
        <f t="shared" si="0"/>
        <v>800</v>
      </c>
      <c r="H6" s="17" t="str">
        <f>PROPER(TRIM(B6))</f>
        <v>Smartphone</v>
      </c>
      <c r="I6" s="19" t="str" cm="1">
        <f t="array" ref="I6">IF(F6="",
_xlfn.SWITCH($B$2,
"Laptop","Electronics",
"smartphone","Electronics",
"Tablet","Electronics",
"Headphones","Electronics",
"Blender","Kitchen",
"Coffee Maker","Kitchen",
"Sneakers","Fashion",
"T-shirt","Fashion",
""),
_xlfn.SWITCH(F6,
"Electroni","Electronics",
"Electronics","Electronics",
"Fashion","Fashion",
"Kitchen","Kitchen",
"Outdoor","Outdoor",
"Accessories","Accessories"))</f>
        <v>Electronics</v>
      </c>
      <c r="J6" s="9" t="str">
        <f>PROPER(I6)</f>
        <v>Electronics</v>
      </c>
      <c r="K6" s="19" t="str">
        <f>PROPER(CONCATENATE(B6,"-",C6))</f>
        <v>Smartphone-Google</v>
      </c>
      <c r="L6" s="23">
        <f t="shared" si="1"/>
        <v>45929</v>
      </c>
      <c r="M6" s="23" t="str">
        <f>TEXT(L6,"DD-MM-YYYY")</f>
        <v>29-09-2025</v>
      </c>
      <c r="N6" s="19" t="str">
        <f>RIGHT(A6,2)</f>
        <v>CA</v>
      </c>
    </row>
    <row r="7" spans="1:14">
      <c r="A7" s="14" t="s">
        <v>48</v>
      </c>
      <c r="B7" s="8" t="s">
        <v>49</v>
      </c>
      <c r="C7" s="8" t="s">
        <v>50</v>
      </c>
      <c r="D7" s="8">
        <v>700</v>
      </c>
      <c r="E7" s="8">
        <v>50</v>
      </c>
      <c r="F7" s="9" t="s">
        <v>36</v>
      </c>
      <c r="G7" s="12">
        <f t="shared" si="0"/>
        <v>700</v>
      </c>
      <c r="H7" s="17" t="str">
        <f>PROPER(TRIM(B7))</f>
        <v>Camera</v>
      </c>
      <c r="I7" s="19" t="str" cm="1">
        <f t="array" ref="I7">IF(F7="",
_xlfn.SWITCH($B$2,
"Laptop","Electronics",
"smartphone","Electronics",
"Tablet","Electronics",
"Headphones","Electronics",
"Blender","Kitchen",
"Coffee Maker","Kitchen",
"Sneakers","Fashion",
"T-shirt","Fashion",
""),
_xlfn.SWITCH(F7,
"Electroni","Electronics",
"Electronics","Electronics",
"Fashion","Fashion",
"Kitchen","Kitchen",
"Outdoor","Outdoor",
"Accessories","Accessories"))</f>
        <v>Electronics</v>
      </c>
      <c r="J7" s="9" t="str">
        <f>PROPER(I7)</f>
        <v>Electronics</v>
      </c>
      <c r="K7" s="19" t="str">
        <f>PROPER(CONCATENATE(B7,"-",C7))</f>
        <v>Camera-Nikon</v>
      </c>
      <c r="L7" s="23">
        <f t="shared" si="1"/>
        <v>45791</v>
      </c>
      <c r="M7" s="23" t="str">
        <f>TEXT(L7,"DD-MM-YYYY")</f>
        <v>14-05-2025</v>
      </c>
      <c r="N7" s="19" t="str">
        <f>RIGHT(A7,2)</f>
        <v>RU</v>
      </c>
    </row>
    <row r="8" spans="1:14">
      <c r="A8" s="14" t="s">
        <v>51</v>
      </c>
      <c r="B8" s="8" t="s">
        <v>52</v>
      </c>
      <c r="C8" s="8" t="s">
        <v>53</v>
      </c>
      <c r="D8" s="8">
        <v>500</v>
      </c>
      <c r="E8" s="8">
        <v>50</v>
      </c>
      <c r="F8" s="11" t="s">
        <v>36</v>
      </c>
      <c r="G8" s="12">
        <f t="shared" si="0"/>
        <v>500</v>
      </c>
      <c r="H8" s="17" t="str">
        <f>PROPER(TRIM(B8))</f>
        <v>Tablet</v>
      </c>
      <c r="I8" s="19" t="str" cm="1">
        <f t="array" ref="I8">IF(F8="",
_xlfn.SWITCH($B$2,
"Laptop","Electronics",
"smartphone","Electronics",
"Tablet","Electronics",
"Headphones","Electronics",
"Blender","Kitchen",
"Coffee Maker","Kitchen",
"Sneakers","Fashion",
"T-shirt","Fashion",
""),
_xlfn.SWITCH(F8,
"Electroni","Electronics",
"Electronics","Electronics",
"Fashion","Fashion",
"Kitchen","Kitchen",
"Outdoor","Outdoor",
"Accessories","Accessories"))</f>
        <v>Electronics</v>
      </c>
      <c r="J8" s="9" t="str">
        <f>PROPER(I8)</f>
        <v>Electronics</v>
      </c>
      <c r="K8" s="19" t="str">
        <f>PROPER(CONCATENATE(B8,"-",C8))</f>
        <v>Tablet-Apple</v>
      </c>
      <c r="L8" s="23">
        <f t="shared" si="1"/>
        <v>45905</v>
      </c>
      <c r="M8" s="23" t="str">
        <f>TEXT(L8,"DD-MM-YYYY")</f>
        <v>05-09-2025</v>
      </c>
      <c r="N8" s="19" t="str">
        <f>RIGHT(A8,2)</f>
        <v>UK</v>
      </c>
    </row>
    <row r="9" spans="1:14">
      <c r="A9" s="14" t="s">
        <v>54</v>
      </c>
      <c r="B9" s="8" t="s">
        <v>55</v>
      </c>
      <c r="C9" s="8" t="s">
        <v>56</v>
      </c>
      <c r="D9" s="8">
        <v>400</v>
      </c>
      <c r="E9" s="8">
        <v>40</v>
      </c>
      <c r="F9" s="9" t="s">
        <v>57</v>
      </c>
      <c r="G9" s="12">
        <f t="shared" si="0"/>
        <v>400</v>
      </c>
      <c r="H9" s="17" t="str">
        <f>PROPER(TRIM(B9))</f>
        <v>Blender</v>
      </c>
      <c r="I9" s="19" t="str" cm="1">
        <f t="array" ref="I9">IF(F9="",
_xlfn.SWITCH($B$2,
"Laptop","Electronics",
"smartphone","Electronics",
"Tablet","Electronics",
"Headphones","Electronics",
"Blender","Kitchen",
"Coffee Maker","Kitchen",
"Sneakers","Fashion",
"T-shirt","Fashion",
""),
_xlfn.SWITCH(F9,
"Electroni","Electronics",
"Electronics","Electronics",
"Fashion","Fashion",
"Kitchen","Kitchen",
"Outdoor","Outdoor",
"Accessories","Accessories"))</f>
        <v>Kitchen</v>
      </c>
      <c r="J9" s="9" t="str">
        <f>PROPER(I9)</f>
        <v>Kitchen</v>
      </c>
      <c r="K9" s="19" t="str">
        <f>PROPER(CONCATENATE(B9,"-",C9))</f>
        <v>Blender-Vitamix</v>
      </c>
      <c r="L9" s="23">
        <f t="shared" si="1"/>
        <v>45849</v>
      </c>
      <c r="M9" s="23" t="str">
        <f>TEXT(L9,"DD-MM-YYYY")</f>
        <v>11-07-2025</v>
      </c>
      <c r="N9" s="19" t="str">
        <f>RIGHT(A9,2)</f>
        <v>CA</v>
      </c>
    </row>
    <row r="10" spans="1:14">
      <c r="A10" s="14" t="s">
        <v>58</v>
      </c>
      <c r="B10" s="8" t="s">
        <v>59</v>
      </c>
      <c r="C10" s="8" t="s">
        <v>60</v>
      </c>
      <c r="D10" s="8">
        <v>250</v>
      </c>
      <c r="E10" s="8">
        <v>20</v>
      </c>
      <c r="F10" s="29" t="s">
        <v>61</v>
      </c>
      <c r="G10" s="12">
        <f t="shared" si="0"/>
        <v>250</v>
      </c>
      <c r="H10" s="17" t="str">
        <f>PROPER(TRIM(B10))</f>
        <v>Headphones</v>
      </c>
      <c r="I10" s="19" t="str" cm="1">
        <f t="array" ref="I10">IF(F10="",
_xlfn.SWITCH($B$2,
"Laptop","Electronics",
"smartphone","Electronics",
"Tablet","Electronics",
"Headphones","Electronics",
"Blender","Kitchen",
"Coffee Maker","Kitchen",
"Sneakers","Fashion",
"T-shirt","Fashion",
""),
_xlfn.SWITCH(F10,
"Electroni","Electronics",
"Electronics","Electronics",
"Fashion","Fashion",
"Kitchen","Kitchen",
"Outdoor","Outdoor",
"Accessories","Accessories"))</f>
        <v>Electronics</v>
      </c>
      <c r="J10" s="29" t="str">
        <f>PROPER(I10)</f>
        <v>Electronics</v>
      </c>
      <c r="K10" s="19" t="str">
        <f>PROPER(CONCATENATE(B10,"-",C10))</f>
        <v>Headphones-Bose</v>
      </c>
      <c r="L10" s="23">
        <f t="shared" si="1"/>
        <v>45763</v>
      </c>
      <c r="M10" s="23" t="str">
        <f>TEXT(L10,"DD-MM-YYYY")</f>
        <v>16-04-2025</v>
      </c>
      <c r="N10" s="19" t="str">
        <f>RIGHT(A10,2)</f>
        <v>ES</v>
      </c>
    </row>
    <row r="11" spans="1:14">
      <c r="A11" s="14" t="s">
        <v>62</v>
      </c>
      <c r="B11" s="8" t="s">
        <v>63</v>
      </c>
      <c r="C11" s="8" t="s">
        <v>64</v>
      </c>
      <c r="D11" s="8">
        <v>160</v>
      </c>
      <c r="E11" s="8">
        <v>15</v>
      </c>
      <c r="F11" s="9" t="s">
        <v>61</v>
      </c>
      <c r="G11" s="12">
        <f t="shared" si="0"/>
        <v>160</v>
      </c>
      <c r="H11" s="17" t="str">
        <f>PROPER(TRIM(B11))</f>
        <v>Smartwatch</v>
      </c>
      <c r="I11" s="19" t="str" cm="1">
        <f t="array" ref="I11">IF(F11="",
_xlfn.SWITCH($B$2,
"Laptop","Electronics",
"smartphone","Electronics",
"Tablet","Electronics",
"Headphones","Electronics",
"Blender","Kitchen",
"Coffee Maker","Kitchen",
"Sneakers","Fashion",
"T-shirt","Fashion",
""),
_xlfn.SWITCH(F11,
"Electroni","Electronics",
"Electronics","Electronics",
"Fashion","Fashion",
"Kitchen","Kitchen",
"Outdoor","Outdoor",
"Accessories","Accessories"))</f>
        <v>Electronics</v>
      </c>
      <c r="J11" s="29" t="str">
        <f>PROPER(I11)</f>
        <v>Electronics</v>
      </c>
      <c r="K11" s="19" t="str">
        <f>PROPER(CONCATENATE(B11,"-",C11))</f>
        <v>Smartwatch-Huawei</v>
      </c>
      <c r="L11" s="23">
        <f t="shared" si="1"/>
        <v>45889</v>
      </c>
      <c r="M11" s="23" t="str">
        <f>TEXT(L11,"DD-MM-YYYY")</f>
        <v>20-08-2025</v>
      </c>
      <c r="N11" s="19" t="str">
        <f>RIGHT(A11,2)</f>
        <v>CN</v>
      </c>
    </row>
    <row r="12" spans="1:14">
      <c r="A12" s="15" t="s">
        <v>65</v>
      </c>
      <c r="B12" s="10" t="s">
        <v>63</v>
      </c>
      <c r="C12" s="10" t="s">
        <v>66</v>
      </c>
      <c r="D12" s="10">
        <v>150</v>
      </c>
      <c r="E12" s="10">
        <v>15</v>
      </c>
      <c r="F12" s="11" t="s">
        <v>61</v>
      </c>
      <c r="G12" s="12">
        <f t="shared" si="0"/>
        <v>150</v>
      </c>
      <c r="H12" s="17" t="str">
        <f>PROPER(TRIM(B12))</f>
        <v>Smartwatch</v>
      </c>
      <c r="I12" s="19" t="str" cm="1">
        <f t="array" ref="I12">IF(F12="",
_xlfn.SWITCH($B$2,
"Laptop","Electronics",
"smartphone","Electronics",
"Tablet","Electronics",
"Headphones","Electronics",
"Blender","Kitchen",
"Coffee Maker","Kitchen",
"Sneakers","Fashion",
"T-shirt","Fashion",
""),
_xlfn.SWITCH(F12,
"Electroni","Electronics",
"Electronics","Electronics",
"Fashion","Fashion",
"Kitchen","Kitchen",
"Outdoor","Outdoor",
"Accessories","Accessories"))</f>
        <v>Electronics</v>
      </c>
      <c r="J12" s="9" t="str">
        <f>PROPER(I12)</f>
        <v>Electronics</v>
      </c>
      <c r="K12" s="19" t="str">
        <f>PROPER(CONCATENATE(B12,"-",C12))</f>
        <v>Smartwatch-Fitbit</v>
      </c>
      <c r="L12" s="23">
        <f t="shared" si="1"/>
        <v>45706</v>
      </c>
      <c r="M12" s="23" t="str">
        <f>TEXT(L12,"DD-MM-YYYY")</f>
        <v>18-02-2025</v>
      </c>
      <c r="N12" s="19" t="str">
        <f>RIGHT(A12,2)</f>
        <v>CA</v>
      </c>
    </row>
    <row r="13" spans="1:14">
      <c r="A13" s="14" t="s">
        <v>67</v>
      </c>
      <c r="B13" s="8" t="s">
        <v>68</v>
      </c>
      <c r="C13" s="8" t="s">
        <v>69</v>
      </c>
      <c r="D13" s="8">
        <v>150</v>
      </c>
      <c r="E13" s="8">
        <v>15</v>
      </c>
      <c r="F13" s="9" t="s">
        <v>70</v>
      </c>
      <c r="G13" s="12">
        <f t="shared" si="0"/>
        <v>150</v>
      </c>
      <c r="H13" s="17" t="str">
        <f>PROPER(TRIM(B13))</f>
        <v>Sunglasses</v>
      </c>
      <c r="I13" s="19" t="str" cm="1">
        <f t="array" ref="I13">IF(F13="",
_xlfn.SWITCH($B$2,
"Laptop","Electronics",
"smartphone","Electronics",
"Tablet","Electronics",
"Headphones","Electronics",
"Blender","Kitchen",
"Coffee Maker","Kitchen",
"Sneakers","Fashion",
"T-shirt","Fashion",
""),
_xlfn.SWITCH(F13,
"Electroni","Electronics",
"Electronics","Electronics",
"Fashion","Fashion",
"Kitchen","Kitchen",
"Outdoor","Outdoor",
"Accessories","Accessories"))</f>
        <v>Fashion</v>
      </c>
      <c r="J13" s="9" t="str">
        <f>PROPER(I13)</f>
        <v>Fashion</v>
      </c>
      <c r="K13" s="19" t="str">
        <f>PROPER(CONCATENATE(B13,"-",C13))</f>
        <v>Sunglasses-Oakley</v>
      </c>
      <c r="L13" s="23">
        <f t="shared" si="1"/>
        <v>45717</v>
      </c>
      <c r="M13" s="23" t="str">
        <f>TEXT(L13,"DD-MM-YYYY")</f>
        <v>01-03-2025</v>
      </c>
      <c r="N13" s="19" t="str">
        <f>RIGHT(A13,2)</f>
        <v>UK</v>
      </c>
    </row>
    <row r="14" spans="1:14">
      <c r="A14" s="14" t="s">
        <v>71</v>
      </c>
      <c r="B14" s="8" t="s">
        <v>72</v>
      </c>
      <c r="C14" s="8" t="s">
        <v>73</v>
      </c>
      <c r="D14" s="8">
        <v>150</v>
      </c>
      <c r="E14" s="8">
        <v>30</v>
      </c>
      <c r="F14" s="9"/>
      <c r="G14" s="12">
        <f t="shared" si="0"/>
        <v>150</v>
      </c>
      <c r="H14" s="17" t="str">
        <f>PROPER(TRIM(B14))</f>
        <v>Fitness Tracker</v>
      </c>
      <c r="I14" s="19" t="str" cm="1">
        <f t="array" ref="I14">IF(F14="",
_xlfn.SWITCH($B$2,
"Laptop","Electronics",
"smartphone","Electronics",
"Tablet","Electronics",
"Headphones","Electronics",
"Blender","Kitchen",
"Coffee Maker","Kitchen",
"Sneakers","Fashion",
"T-shirt","Fashion",
""),
_xlfn.SWITCH(F14,
"Electroni","Electronics",
"Electronics","Electronics",
"Fashion","Fashion",
"Kitchen","Kitchen",
"Outdoor","Outdoor",
"Accessories","Accessories"))</f>
        <v>Electronics</v>
      </c>
      <c r="J14" s="11" t="str">
        <f>PROPER(I14)</f>
        <v>Electronics</v>
      </c>
      <c r="K14" s="19" t="str">
        <f>PROPER(CONCATENATE(B14,"-",C14))</f>
        <v>Fitness Tracker-Xiaomi</v>
      </c>
      <c r="L14" s="23">
        <f t="shared" si="1"/>
        <v>45857</v>
      </c>
      <c r="M14" s="23" t="str">
        <f>TEXT(L14,"DD-MM-YYYY")</f>
        <v>19-07-2025</v>
      </c>
      <c r="N14" s="19" t="str">
        <f>RIGHT(A14,2)</f>
        <v>BR</v>
      </c>
    </row>
    <row r="15" spans="1:14">
      <c r="A15" s="14" t="s">
        <v>74</v>
      </c>
      <c r="B15" s="8" t="s">
        <v>75</v>
      </c>
      <c r="C15" s="8" t="s">
        <v>76</v>
      </c>
      <c r="D15" s="8">
        <v>130</v>
      </c>
      <c r="E15" s="8">
        <v>40</v>
      </c>
      <c r="F15" s="9" t="s">
        <v>57</v>
      </c>
      <c r="G15" s="12">
        <f t="shared" si="0"/>
        <v>130</v>
      </c>
      <c r="H15" s="21" t="str">
        <f>PROPER(TRIM(B15))</f>
        <v>Coffee Maker</v>
      </c>
      <c r="I15" s="19" t="str" cm="1">
        <f t="array" ref="I15">IF(F15="",
_xlfn.SWITCH($B$2,
"Laptop","Electronics",
"smartphone","Electronics",
"Tablet","Electronics",
"Headphones","Electronics",
"Blender","Kitchen",
"Coffee Maker","Kitchen",
"Sneakers","Fashion",
"T-shirt","Fashion",
""),
_xlfn.SWITCH(F15,
"Electroni","Electronics",
"Electronics","Electronics",
"Fashion","Fashion",
"Kitchen","Kitchen",
"Outdoor","Outdoor",
"Accessories","Accessories"))</f>
        <v>Kitchen</v>
      </c>
      <c r="J15" s="9" t="str">
        <f>PROPER(I15)</f>
        <v>Kitchen</v>
      </c>
      <c r="K15" s="19" t="str">
        <f>PROPER(CONCATENATE(B15,"-",C15))</f>
        <v>Coffee Maker-Keurig</v>
      </c>
      <c r="L15" s="23">
        <f t="shared" si="1"/>
        <v>45719</v>
      </c>
      <c r="M15" s="23" t="str">
        <f>TEXT(L15,"DD-MM-YYYY")</f>
        <v>03-03-2025</v>
      </c>
      <c r="N15" s="19" t="str">
        <f>RIGHT(A15,2)</f>
        <v>US</v>
      </c>
    </row>
    <row r="16" spans="1:14">
      <c r="A16" s="15" t="s">
        <v>77</v>
      </c>
      <c r="B16" s="10" t="s">
        <v>78</v>
      </c>
      <c r="C16" s="10" t="s">
        <v>79</v>
      </c>
      <c r="D16" s="10">
        <v>130</v>
      </c>
      <c r="E16" s="10">
        <v>10</v>
      </c>
      <c r="F16" s="11" t="s">
        <v>80</v>
      </c>
      <c r="G16" s="12">
        <f t="shared" si="0"/>
        <v>130</v>
      </c>
      <c r="H16" s="17" t="str">
        <f>PROPER(TRIM(B16))</f>
        <v>Hiking Boots</v>
      </c>
      <c r="I16" s="19" t="str" cm="1">
        <f t="array" ref="I16">IF(F16="",
_xlfn.SWITCH($B$2,
"Laptop","Electronics",
"smartphone","Electronics",
"Tablet","Electronics",
"Headphones","Electronics",
"Blender","Kitchen",
"Coffee Maker","Kitchen",
"Sneakers","Fashion",
"T-shirt","Fashion",
""),
_xlfn.SWITCH(F16,
"Electroni","Electronics",
"Electronics","Electronics",
"Fashion","Fashion",
"Kitchen","Kitchen",
"Outdoor","Outdoor",
"Accessories","Accessories"))</f>
        <v>Outdoor</v>
      </c>
      <c r="J16" s="9" t="str">
        <f>PROPER(I16)</f>
        <v>Outdoor</v>
      </c>
      <c r="K16" s="19" t="str">
        <f>PROPER(CONCATENATE(B16,"-",C16))</f>
        <v>Hiking Boots-Timberland</v>
      </c>
      <c r="L16" s="23">
        <f t="shared" si="1"/>
        <v>45944</v>
      </c>
      <c r="M16" s="23" t="str">
        <f>TEXT(L16,"DD-MM-YYYY")</f>
        <v>14-10-2025</v>
      </c>
      <c r="N16" s="19" t="str">
        <f>RIGHT(A16,2)</f>
        <v>UK</v>
      </c>
    </row>
    <row r="17" spans="1:14">
      <c r="A17" s="14" t="s">
        <v>81</v>
      </c>
      <c r="B17" s="8" t="s">
        <v>72</v>
      </c>
      <c r="C17" s="8" t="s">
        <v>82</v>
      </c>
      <c r="D17" s="8">
        <v>130</v>
      </c>
      <c r="E17" s="8">
        <v>5</v>
      </c>
      <c r="F17" s="9" t="s">
        <v>36</v>
      </c>
      <c r="G17" s="12">
        <f t="shared" si="0"/>
        <v>130</v>
      </c>
      <c r="H17" s="17" t="str">
        <f>PROPER(TRIM(B17))</f>
        <v>Fitness Tracker</v>
      </c>
      <c r="I17" s="19" t="str" cm="1">
        <f t="array" ref="I17">IF(F17="",
_xlfn.SWITCH($B$2,
"Laptop","Electronics",
"smartphone","Electronics",
"Tablet","Electronics",
"Headphones","Electronics",
"Blender","Kitchen",
"Coffee Maker","Kitchen",
"Sneakers","Fashion",
"T-shirt","Fashion",
""),
_xlfn.SWITCH(F17,
"Electroni","Electronics",
"Electronics","Electronics",
"Fashion","Fashion",
"Kitchen","Kitchen",
"Outdoor","Outdoor",
"Accessories","Accessories"))</f>
        <v>Electronics</v>
      </c>
      <c r="J17" s="29" t="str">
        <f>PROPER(I17)</f>
        <v>Electronics</v>
      </c>
      <c r="K17" s="19" t="str">
        <f>PROPER(CONCATENATE(B17,"-",C17))</f>
        <v>Fitness Tracker-Garmin</v>
      </c>
      <c r="L17" s="23">
        <f t="shared" si="1"/>
        <v>45801</v>
      </c>
      <c r="M17" s="23" t="str">
        <f>TEXT(L17,"DD-MM-YYYY")</f>
        <v>24-05-2025</v>
      </c>
      <c r="N17" s="19" t="str">
        <f>RIGHT(A17,2)</f>
        <v>CA</v>
      </c>
    </row>
    <row r="18" spans="1:14">
      <c r="A18" s="14" t="s">
        <v>83</v>
      </c>
      <c r="B18" s="8" t="s">
        <v>75</v>
      </c>
      <c r="C18" s="8" t="s">
        <v>84</v>
      </c>
      <c r="D18" s="8">
        <v>120</v>
      </c>
      <c r="E18" s="8">
        <v>35</v>
      </c>
      <c r="F18" s="9"/>
      <c r="G18" s="12">
        <f t="shared" si="0"/>
        <v>120</v>
      </c>
      <c r="H18" s="17" t="str">
        <f>PROPER(TRIM(B18))</f>
        <v>Coffee Maker</v>
      </c>
      <c r="I18" s="19" t="str" cm="1">
        <f t="array" ref="I18">IF(F18="",
_xlfn.SWITCH($B$2,
"Laptop","Electronics",
"smartphone","Electronics",
"Tablet","Electronics",
"Headphones","Electronics",
"Blender","Kitchen",
"Coffee Maker","Kitchen",
"Sneakers","Fashion",
"T-shirt","Fashion",
""),
_xlfn.SWITCH(F18,
"Electroni","Electronics",
"Electronics","Electronics",
"Fashion","Fashion",
"Kitchen","Kitchen",
"Outdoor","Outdoor",
"Accessories","Accessories"))</f>
        <v>Electronics</v>
      </c>
      <c r="J18" s="11" t="str">
        <f>PROPER(I18)</f>
        <v>Electronics</v>
      </c>
      <c r="K18" s="19" t="str">
        <f>PROPER(CONCATENATE(B18,"-",C18))</f>
        <v>Coffee Maker-Nespresso</v>
      </c>
      <c r="L18" s="23">
        <f t="shared" si="1"/>
        <v>45999</v>
      </c>
      <c r="M18" s="23" t="str">
        <f>TEXT(L18,"DD-MM-YYYY")</f>
        <v>08-12-2025</v>
      </c>
      <c r="N18" s="19" t="str">
        <f>RIGHT(A18,2)</f>
        <v>DE</v>
      </c>
    </row>
    <row r="19" spans="1:14">
      <c r="A19" s="15" t="s">
        <v>85</v>
      </c>
      <c r="B19" s="10" t="s">
        <v>86</v>
      </c>
      <c r="C19" s="10" t="s">
        <v>87</v>
      </c>
      <c r="D19" s="10">
        <v>100</v>
      </c>
      <c r="E19" s="10">
        <v>20</v>
      </c>
      <c r="F19" s="11" t="s">
        <v>88</v>
      </c>
      <c r="G19" s="12">
        <f t="shared" si="0"/>
        <v>100</v>
      </c>
      <c r="H19" s="17" t="str">
        <f>PROPER(TRIM(B19))</f>
        <v>Watch</v>
      </c>
      <c r="I19" s="19" t="str" cm="1">
        <f t="array" ref="I19">IF(F19="",
_xlfn.SWITCH($B$2,
"Laptop","Electronics",
"smartphone","Electronics",
"Tablet","Electronics",
"Headphones","Electronics",
"Blender","Kitchen",
"Coffee Maker","Kitchen",
"Sneakers","Fashion",
"T-shirt","Fashion",
""),
_xlfn.SWITCH(F19,
"Electroni","Electronics",
"Electronics","Electronics",
"Fashion","Fashion",
"Kitchen","Kitchen",
"Outdoor","Outdoor",
"Accessories","Accessories"))</f>
        <v>Accessories</v>
      </c>
      <c r="J19" s="11" t="str">
        <f>PROPER(I19)</f>
        <v>Accessories</v>
      </c>
      <c r="K19" s="19" t="str">
        <f>PROPER(CONCATENATE(B19,"-",C19))</f>
        <v>Watch-Casio</v>
      </c>
      <c r="L19" s="23">
        <f t="shared" si="1"/>
        <v>45847</v>
      </c>
      <c r="M19" s="23" t="str">
        <f>TEXT(L19,"DD-MM-YYYY")</f>
        <v>09-07-2025</v>
      </c>
      <c r="N19" s="19" t="str">
        <f>RIGHT(A19,2)</f>
        <v>FR</v>
      </c>
    </row>
    <row r="20" spans="1:14">
      <c r="A20" s="15" t="s">
        <v>89</v>
      </c>
      <c r="B20" s="10" t="s">
        <v>55</v>
      </c>
      <c r="C20" s="10" t="s">
        <v>90</v>
      </c>
      <c r="D20" s="10">
        <v>90</v>
      </c>
      <c r="E20" s="10">
        <v>35</v>
      </c>
      <c r="F20" s="11" t="s">
        <v>57</v>
      </c>
      <c r="G20" s="12">
        <f t="shared" si="0"/>
        <v>90</v>
      </c>
      <c r="H20" s="17" t="str">
        <f>PROPER(TRIM(B20))</f>
        <v>Blender</v>
      </c>
      <c r="I20" s="19" t="str" cm="1">
        <f t="array" ref="I20">IF(F20="",
_xlfn.SWITCH($B$2,
"Laptop","Electronics",
"smartphone","Electronics",
"Tablet","Electronics",
"Headphones","Electronics",
"Blender","Kitchen",
"Coffee Maker","Kitchen",
"Sneakers","Fashion",
"T-shirt","Fashion",
""),
_xlfn.SWITCH(F20,
"Electroni","Electronics",
"Electronics","Electronics",
"Fashion","Fashion",
"Kitchen","Kitchen",
"Outdoor","Outdoor",
"Accessories","Accessories"))</f>
        <v>Kitchen</v>
      </c>
      <c r="J20" s="11" t="str">
        <f>PROPER(I20)</f>
        <v>Kitchen</v>
      </c>
      <c r="K20" s="19" t="str">
        <f>PROPER(CONCATENATE(B20,"-",C20))</f>
        <v>Blender-Ninja</v>
      </c>
      <c r="L20" s="23">
        <f t="shared" si="1"/>
        <v>45892</v>
      </c>
      <c r="M20" s="23" t="str">
        <f>TEXT(L20,"DD-MM-YYYY")</f>
        <v>23-08-2025</v>
      </c>
      <c r="N20" s="19" t="str">
        <f>RIGHT(A20,2)</f>
        <v>UK</v>
      </c>
    </row>
    <row r="21" spans="1:14">
      <c r="A21" s="15" t="s">
        <v>91</v>
      </c>
      <c r="B21" s="10" t="s">
        <v>92</v>
      </c>
      <c r="C21" s="10" t="s">
        <v>93</v>
      </c>
      <c r="D21" s="10">
        <v>90</v>
      </c>
      <c r="E21" s="10">
        <v>40</v>
      </c>
      <c r="F21" s="9"/>
      <c r="G21" s="12">
        <f t="shared" si="0"/>
        <v>90</v>
      </c>
      <c r="H21" s="17" t="str">
        <f>PROPER(TRIM(B21))</f>
        <v>Sneakers</v>
      </c>
      <c r="I21" s="19" t="str" cm="1">
        <f t="array" ref="I21">IF(F21="",
_xlfn.SWITCH($B$2,
"Laptop","Electronics",
"smartphone","Electronics",
"Tablet","Electronics",
"Headphones","Electronics",
"Blender","Kitchen",
"Coffee Maker","Kitchen",
"Sneakers","Fashion",
"T-shirt","Fashion",
""),
_xlfn.SWITCH(F21,
"Electroni","Electronics",
"Electronics","Electronics",
"Fashion","Fashion",
"Kitchen","Kitchen",
"Outdoor","Outdoor",
"Accessories","Accessories"))</f>
        <v>Electronics</v>
      </c>
      <c r="J21" s="11" t="str">
        <f>PROPER(I21)</f>
        <v>Electronics</v>
      </c>
      <c r="K21" s="19" t="str">
        <f>PROPER(CONCATENATE(B21,"-",C21))</f>
        <v>Sneakers-Adidas</v>
      </c>
      <c r="L21" s="23">
        <f t="shared" si="1"/>
        <v>45986</v>
      </c>
      <c r="M21" s="23" t="str">
        <f>TEXT(L21,"DD-MM-YYYY")</f>
        <v>25-11-2025</v>
      </c>
      <c r="N21" s="19" t="str">
        <f>RIGHT(A21,2)</f>
        <v>AU</v>
      </c>
    </row>
    <row r="22" spans="1:14">
      <c r="A22" s="15" t="s">
        <v>94</v>
      </c>
      <c r="B22" s="10" t="s">
        <v>92</v>
      </c>
      <c r="C22" s="10" t="s">
        <v>95</v>
      </c>
      <c r="D22" s="10">
        <v>80</v>
      </c>
      <c r="E22" s="10">
        <v>15</v>
      </c>
      <c r="F22" s="11" t="s">
        <v>70</v>
      </c>
      <c r="G22" s="12">
        <f t="shared" si="0"/>
        <v>80</v>
      </c>
      <c r="H22" s="21" t="str">
        <f>PROPER(TRIM(B22))</f>
        <v>Sneakers</v>
      </c>
      <c r="I22" s="19" t="str" cm="1">
        <f t="array" ref="I22">IF(F22="",
_xlfn.SWITCH($B$2,
"Laptop","Electronics",
"smartphone","Electronics",
"Tablet","Electronics",
"Headphones","Electronics",
"Blender","Kitchen",
"Coffee Maker","Kitchen",
"Sneakers","Fashion",
"T-shirt","Fashion",
""),
_xlfn.SWITCH(F22,
"Electroni","Electronics",
"Electronics","Electronics",
"Fashion","Fashion",
"Kitchen","Kitchen",
"Outdoor","Outdoor",
"Accessories","Accessories"))</f>
        <v>Fashion</v>
      </c>
      <c r="J22" s="11" t="str">
        <f>PROPER(I22)</f>
        <v>Fashion</v>
      </c>
      <c r="K22" s="19" t="str">
        <f>PROPER(CONCATENATE(B22,"-",C22))</f>
        <v>Sneakers-Nike</v>
      </c>
      <c r="L22" s="23">
        <f t="shared" si="1"/>
        <v>45703</v>
      </c>
      <c r="M22" s="23" t="str">
        <f>TEXT(L22,"DD-MM-YYYY")</f>
        <v>15-02-2025</v>
      </c>
      <c r="N22" s="19" t="str">
        <f>RIGHT(A22,2)</f>
        <v>US</v>
      </c>
    </row>
    <row r="23" spans="1:14">
      <c r="A23" s="15" t="s">
        <v>96</v>
      </c>
      <c r="B23" s="10" t="s">
        <v>97</v>
      </c>
      <c r="C23" s="10" t="s">
        <v>98</v>
      </c>
      <c r="D23" s="10">
        <v>80</v>
      </c>
      <c r="E23" s="10">
        <v>20</v>
      </c>
      <c r="F23" s="11" t="s">
        <v>57</v>
      </c>
      <c r="G23" s="12">
        <f t="shared" si="0"/>
        <v>80</v>
      </c>
      <c r="H23" s="17" t="str">
        <f>PROPER(TRIM(B23))</f>
        <v>Microwave</v>
      </c>
      <c r="I23" s="19" t="str" cm="1">
        <f t="array" ref="I23">IF(F23="",
_xlfn.SWITCH($B$2,
"Laptop","Electronics",
"smartphone","Electronics",
"Tablet","Electronics",
"Headphones","Electronics",
"Blender","Kitchen",
"Coffee Maker","Kitchen",
"Sneakers","Fashion",
"T-shirt","Fashion",
""),
_xlfn.SWITCH(F23,
"Electroni","Electronics",
"Electronics","Electronics",
"Fashion","Fashion",
"Kitchen","Kitchen",
"Outdoor","Outdoor",
"Accessories","Accessories"))</f>
        <v>Kitchen</v>
      </c>
      <c r="J23" s="11" t="str">
        <f>PROPER(I23)</f>
        <v>Kitchen</v>
      </c>
      <c r="K23" s="19" t="str">
        <f>PROPER(CONCATENATE(B23,"-",C23))</f>
        <v>Microwave-Panasonic</v>
      </c>
      <c r="L23" s="23">
        <f t="shared" si="1"/>
        <v>45666</v>
      </c>
      <c r="M23" s="23" t="str">
        <f>TEXT(L23,"DD-MM-YYYY")</f>
        <v>09-01-2025</v>
      </c>
      <c r="N23" s="19" t="str">
        <f>RIGHT(A23,2)</f>
        <v>CA</v>
      </c>
    </row>
    <row r="24" spans="1:14">
      <c r="A24" s="14" t="s">
        <v>99</v>
      </c>
      <c r="B24" s="8" t="s">
        <v>100</v>
      </c>
      <c r="C24" s="8" t="s">
        <v>101</v>
      </c>
      <c r="D24" s="8">
        <v>70</v>
      </c>
      <c r="E24" s="8">
        <v>20</v>
      </c>
      <c r="F24" s="9"/>
      <c r="G24" s="12">
        <f t="shared" si="0"/>
        <v>70</v>
      </c>
      <c r="H24" s="17" t="str">
        <f>PROPER(TRIM(B24))</f>
        <v>Backpack</v>
      </c>
      <c r="I24" s="19" t="str" cm="1">
        <f t="array" ref="I24">IF(F24="",
_xlfn.SWITCH($B$2,
"Laptop","Electronics",
"smartphone","Electronics",
"Tablet","Electronics",
"Headphones","Electronics",
"Blender","Kitchen",
"Coffee Maker","Kitchen",
"Sneakers","Fashion",
"T-shirt","Fashion",
""),
_xlfn.SWITCH(F24,
"Electroni","Electronics",
"Electronics","Electronics",
"Fashion","Fashion",
"Kitchen","Kitchen",
"Outdoor","Outdoor",
"Accessories","Accessories"))</f>
        <v>Electronics</v>
      </c>
      <c r="J24" s="9" t="str">
        <f>PROPER(I24)</f>
        <v>Electronics</v>
      </c>
      <c r="K24" s="19" t="str">
        <f>PROPER(CONCATENATE(B24,"-",C24))</f>
        <v>Backpack-Northface</v>
      </c>
      <c r="L24" s="23">
        <f t="shared" si="1"/>
        <v>45799</v>
      </c>
      <c r="M24" s="23" t="str">
        <f>TEXT(L24,"DD-MM-YYYY")</f>
        <v>22-05-2025</v>
      </c>
      <c r="N24" s="19" t="str">
        <f>RIGHT(A24,2)</f>
        <v>US</v>
      </c>
    </row>
    <row r="25" spans="1:14">
      <c r="A25" s="14" t="s">
        <v>102</v>
      </c>
      <c r="B25" s="8" t="s">
        <v>103</v>
      </c>
      <c r="C25" s="8" t="s">
        <v>104</v>
      </c>
      <c r="D25" s="8">
        <v>60</v>
      </c>
      <c r="E25" s="8">
        <v>30</v>
      </c>
      <c r="F25" s="9" t="s">
        <v>70</v>
      </c>
      <c r="G25" s="12">
        <f t="shared" si="0"/>
        <v>60</v>
      </c>
      <c r="H25" s="17" t="str">
        <f>PROPER(TRIM(B25))</f>
        <v>Dress</v>
      </c>
      <c r="I25" s="19" t="str" cm="1">
        <f t="array" ref="I25">IF(F25="",
_xlfn.SWITCH($B$2,
"Laptop","Electronics",
"smartphone","Electronics",
"Tablet","Electronics",
"Headphones","Electronics",
"Blender","Kitchen",
"Coffee Maker","Kitchen",
"Sneakers","Fashion",
"T-shirt","Fashion",
""),
_xlfn.SWITCH(F25,
"Electroni","Electronics",
"Electronics","Electronics",
"Fashion","Fashion",
"Kitchen","Kitchen",
"Outdoor","Outdoor",
"Accessories","Accessories"))</f>
        <v>Fashion</v>
      </c>
      <c r="J25" s="9" t="str">
        <f>PROPER(I25)</f>
        <v>Fashion</v>
      </c>
      <c r="K25" s="19" t="str">
        <f>PROPER(CONCATENATE(B25,"-",C25))</f>
        <v>Dress-Zara</v>
      </c>
      <c r="L25" s="23">
        <f t="shared" si="1"/>
        <v>45723</v>
      </c>
      <c r="M25" s="23" t="str">
        <f>TEXT(L25,"DD-MM-YYYY")</f>
        <v>07-03-2025</v>
      </c>
      <c r="N25" s="19" t="str">
        <f>RIGHT(A25,2)</f>
        <v>CA</v>
      </c>
    </row>
    <row r="26" spans="1:14">
      <c r="A26" s="15" t="s">
        <v>105</v>
      </c>
      <c r="B26" s="10" t="s">
        <v>106</v>
      </c>
      <c r="C26" s="10" t="s">
        <v>107</v>
      </c>
      <c r="D26" s="10">
        <v>50</v>
      </c>
      <c r="E26" s="10">
        <v>35</v>
      </c>
      <c r="F26" s="11" t="s">
        <v>88</v>
      </c>
      <c r="G26" s="12">
        <f t="shared" si="0"/>
        <v>50</v>
      </c>
      <c r="H26" s="17" t="str">
        <f>PROPER(TRIM(B26))</f>
        <v>Laptop Bag</v>
      </c>
      <c r="I26" s="19" t="str" cm="1">
        <f t="array" ref="I26">IF(F26="",
_xlfn.SWITCH($B$2,
"Laptop","Electronics",
"smartphone","Electronics",
"Tablet","Electronics",
"Headphones","Electronics",
"Blender","Kitchen",
"Coffee Maker","Kitchen",
"Sneakers","Fashion",
"T-shirt","Fashion",
""),
_xlfn.SWITCH(F26,
"Electroni","Electronics",
"Electronics","Electronics",
"Fashion","Fashion",
"Kitchen","Kitchen",
"Outdoor","Outdoor",
"Accessories","Accessories"))</f>
        <v>Accessories</v>
      </c>
      <c r="J26" s="9" t="str">
        <f>PROPER(I26)</f>
        <v>Accessories</v>
      </c>
      <c r="K26" s="19" t="str">
        <f>PROPER(CONCATENATE(B26,"-",C26))</f>
        <v>Laptop Bag-Samsonite</v>
      </c>
      <c r="L26" s="23">
        <f t="shared" si="1"/>
        <v>45890</v>
      </c>
      <c r="M26" s="23" t="str">
        <f>TEXT(L26,"DD-MM-YYYY")</f>
        <v>21-08-2025</v>
      </c>
      <c r="N26" s="19" t="str">
        <f>RIGHT(A26,2)</f>
        <v>CA</v>
      </c>
    </row>
    <row r="27" spans="1:14">
      <c r="A27" s="15" t="s">
        <v>108</v>
      </c>
      <c r="B27" s="10" t="s">
        <v>109</v>
      </c>
      <c r="C27" s="10" t="s">
        <v>110</v>
      </c>
      <c r="D27" s="10">
        <v>50</v>
      </c>
      <c r="E27" s="10">
        <v>50</v>
      </c>
      <c r="F27" s="11" t="s">
        <v>70</v>
      </c>
      <c r="G27" s="12">
        <f t="shared" si="0"/>
        <v>50</v>
      </c>
      <c r="H27" s="17" t="str">
        <f>PROPER(TRIM(B27))</f>
        <v>Jeans</v>
      </c>
      <c r="I27" s="19" t="str" cm="1">
        <f t="array" ref="I27">IF(F27="",
_xlfn.SWITCH($B$2,
"Laptop","Electronics",
"smartphone","Electronics",
"Tablet","Electronics",
"Headphones","Electronics",
"Blender","Kitchen",
"Coffee Maker","Kitchen",
"Sneakers","Fashion",
"T-shirt","Fashion",
""),
_xlfn.SWITCH(F27,
"Electroni","Electronics",
"Electronics","Electronics",
"Fashion","Fashion",
"Kitchen","Kitchen",
"Outdoor","Outdoor",
"Accessories","Accessories"))</f>
        <v>Fashion</v>
      </c>
      <c r="J27" s="11" t="str">
        <f>PROPER(I27)</f>
        <v>Fashion</v>
      </c>
      <c r="K27" s="19" t="str">
        <f>PROPER(CONCATENATE(B27,"-",C27))</f>
        <v>Jeans-Levi'S</v>
      </c>
      <c r="L27" s="23">
        <f t="shared" si="1"/>
        <v>45993</v>
      </c>
      <c r="M27" s="23" t="str">
        <f>TEXT(L27,"DD-MM-YYYY")</f>
        <v>02-12-2025</v>
      </c>
      <c r="N27" s="19" t="str">
        <f>RIGHT(A27,2)</f>
        <v>CA</v>
      </c>
    </row>
    <row r="28" spans="1:14">
      <c r="A28" s="15" t="s">
        <v>111</v>
      </c>
      <c r="B28" s="10" t="s">
        <v>112</v>
      </c>
      <c r="C28" s="10" t="s">
        <v>113</v>
      </c>
      <c r="D28" s="10">
        <v>40</v>
      </c>
      <c r="E28" s="10">
        <v>10</v>
      </c>
      <c r="F28" s="11" t="s">
        <v>57</v>
      </c>
      <c r="G28" s="12">
        <f t="shared" si="0"/>
        <v>40</v>
      </c>
      <c r="H28" s="17" t="str">
        <f>PROPER(TRIM(B28))</f>
        <v>Toaster</v>
      </c>
      <c r="I28" s="19" t="str" cm="1">
        <f t="array" ref="I28">IF(F28="",
_xlfn.SWITCH($B$2,
"Laptop","Electronics",
"smartphone","Electronics",
"Tablet","Electronics",
"Headphones","Electronics",
"Blender","Kitchen",
"Coffee Maker","Kitchen",
"Sneakers","Fashion",
"T-shirt","Fashion",
""),
_xlfn.SWITCH(F28,
"Electroni","Electronics",
"Electronics","Electronics",
"Fashion","Fashion",
"Kitchen","Kitchen",
"Outdoor","Outdoor",
"Accessories","Accessories"))</f>
        <v>Kitchen</v>
      </c>
      <c r="J28" s="11" t="str">
        <f>PROPER(I28)</f>
        <v>Kitchen</v>
      </c>
      <c r="K28" s="19" t="str">
        <f>PROPER(CONCATENATE(B28,"-",C28))</f>
        <v>Toaster-Hamilton</v>
      </c>
      <c r="L28" s="23">
        <f t="shared" si="1"/>
        <v>45760</v>
      </c>
      <c r="M28" s="23" t="str">
        <f>TEXT(L28,"DD-MM-YYYY")</f>
        <v>13-04-2025</v>
      </c>
      <c r="N28" s="19" t="str">
        <f>RIGHT(A28,2)</f>
        <v>CA</v>
      </c>
    </row>
    <row r="29" spans="1:14">
      <c r="A29" s="14" t="s">
        <v>114</v>
      </c>
      <c r="B29" s="8" t="s">
        <v>115</v>
      </c>
      <c r="C29" s="8" t="s">
        <v>93</v>
      </c>
      <c r="D29" s="8">
        <v>30</v>
      </c>
      <c r="E29" s="8">
        <v>5</v>
      </c>
      <c r="F29" s="9" t="s">
        <v>70</v>
      </c>
      <c r="G29" s="12">
        <f t="shared" si="0"/>
        <v>30</v>
      </c>
      <c r="H29" s="17" t="str">
        <f>PROPER(TRIM(B29))</f>
        <v>T-Shirt</v>
      </c>
      <c r="I29" s="19" t="str" cm="1">
        <f t="array" ref="I29">IF(F29="",
_xlfn.SWITCH($B$2,
"Laptop","Electronics",
"smartphone","Electronics",
"Tablet","Electronics",
"Headphones","Electronics",
"Blender","Kitchen",
"Coffee Maker","Kitchen",
"Sneakers","Fashion",
"T-shirt","Fashion",
""),
_xlfn.SWITCH(F29,
"Electroni","Electronics",
"Electronics","Electronics",
"Fashion","Fashion",
"Kitchen","Kitchen",
"Outdoor","Outdoor",
"Accessories","Accessories"))</f>
        <v>Fashion</v>
      </c>
      <c r="J29" s="9" t="str">
        <f>PROPER(I29)</f>
        <v>Fashion</v>
      </c>
      <c r="K29" s="19" t="str">
        <f>PROPER(CONCATENATE(B29,"-",C29))</f>
        <v>T-Shirt-Adidas</v>
      </c>
      <c r="L29" s="23">
        <f t="shared" si="1"/>
        <v>45857</v>
      </c>
      <c r="M29" s="23" t="str">
        <f>TEXT(L29,"DD-MM-YYYY")</f>
        <v>19-07-2025</v>
      </c>
      <c r="N29" s="19" t="str">
        <f>RIGHT(A29,2)</f>
        <v>UK</v>
      </c>
    </row>
    <row r="30" spans="1:14">
      <c r="A30" s="15" t="s">
        <v>116</v>
      </c>
      <c r="B30" s="10" t="s">
        <v>117</v>
      </c>
      <c r="C30" s="10" t="s">
        <v>118</v>
      </c>
      <c r="D30" s="10"/>
      <c r="E30" s="10">
        <v>45</v>
      </c>
      <c r="F30" s="11" t="s">
        <v>61</v>
      </c>
      <c r="G30" s="12">
        <f>IFERROR(IF(D30="", AVERAGE($D$2:$D$32), D30), "NA")</f>
        <v>297.85714285714283</v>
      </c>
      <c r="H30" s="17" t="str">
        <f>PROPER(TRIM(B30))</f>
        <v>Headphones</v>
      </c>
      <c r="I30" s="19" t="str" cm="1">
        <f t="array" ref="I30">IF(F30="",
_xlfn.SWITCH($B$2,
"Laptop","Electronics",
"smartphone","Electronics",
"Tablet","Electronics",
"Headphones","Electronics",
"Blender","Kitchen",
"Coffee Maker","Kitchen",
"Sneakers","Fashion",
"T-shirt","Fashion",
""),
_xlfn.SWITCH(F30,
"Electroni","Electronics",
"Electronics","Electronics",
"Fashion","Fashion",
"Kitchen","Kitchen",
"Outdoor","Outdoor",
"Accessories","Accessories"))</f>
        <v>Electronics</v>
      </c>
      <c r="J30" s="9" t="str">
        <f>PROPER(I30)</f>
        <v>Electronics</v>
      </c>
      <c r="K30" s="19" t="str">
        <f>PROPER(CONCATENATE(B30,"-",C30))</f>
        <v>Headphones-Sony</v>
      </c>
      <c r="L30" s="23">
        <f t="shared" si="1"/>
        <v>45815</v>
      </c>
      <c r="M30" s="23" t="str">
        <f>TEXT(L30,"DD-MM-YYYY")</f>
        <v>07-06-2025</v>
      </c>
      <c r="N30" s="19" t="str">
        <f>RIGHT(A30,2)</f>
        <v>UK</v>
      </c>
    </row>
    <row r="31" spans="1:14">
      <c r="A31" s="15" t="s">
        <v>119</v>
      </c>
      <c r="B31" s="10" t="s">
        <v>120</v>
      </c>
      <c r="C31" s="10" t="s">
        <v>121</v>
      </c>
      <c r="D31" s="10"/>
      <c r="E31" s="10">
        <v>10</v>
      </c>
      <c r="F31" s="11" t="s">
        <v>80</v>
      </c>
      <c r="G31" s="12">
        <f t="shared" si="0"/>
        <v>297.85714285714283</v>
      </c>
      <c r="H31" s="17" t="str">
        <f>PROPER(TRIM(B31))</f>
        <v>Camping Tent</v>
      </c>
      <c r="I31" s="19" t="str" cm="1">
        <f t="array" ref="I31">IF(F31="",
_xlfn.SWITCH($B$2,
"Laptop","Electronics",
"smartphone","Electronics",
"Tablet","Electronics",
"Headphones","Electronics",
"Blender","Kitchen",
"Coffee Maker","Kitchen",
"Sneakers","Fashion",
"T-shirt","Fashion",
""),
_xlfn.SWITCH(F31,
"Electroni","Electronics",
"Electronics","Electronics",
"Fashion","Fashion",
"Kitchen","Kitchen",
"Outdoor","Outdoor",
"Accessories","Accessories"))</f>
        <v>Outdoor</v>
      </c>
      <c r="J31" s="11" t="str">
        <f>PROPER(I31)</f>
        <v>Outdoor</v>
      </c>
      <c r="K31" s="19" t="str">
        <f>PROPER(CONCATENATE(B31,"-",C31))</f>
        <v>Camping Tent-Coleman</v>
      </c>
      <c r="L31" s="23">
        <f t="shared" si="1"/>
        <v>45883</v>
      </c>
      <c r="M31" s="23" t="str">
        <f>TEXT(L31,"DD-MM-YYYY")</f>
        <v>14-08-2025</v>
      </c>
      <c r="N31" s="19" t="str">
        <f>RIGHT(A31,2)</f>
        <v>US</v>
      </c>
    </row>
    <row r="32" spans="1:14">
      <c r="A32" s="15" t="s">
        <v>122</v>
      </c>
      <c r="B32" s="10" t="s">
        <v>68</v>
      </c>
      <c r="C32" s="10" t="s">
        <v>123</v>
      </c>
      <c r="D32" s="10"/>
      <c r="E32" s="10">
        <v>25</v>
      </c>
      <c r="F32" s="11" t="s">
        <v>70</v>
      </c>
      <c r="G32" s="12">
        <f t="shared" si="0"/>
        <v>297.85714285714283</v>
      </c>
      <c r="H32" s="17" t="str">
        <f>PROPER(TRIM(B32))</f>
        <v>Sunglasses</v>
      </c>
      <c r="I32" s="19" t="str" cm="1">
        <f t="array" ref="I32">IF(F32="",
_xlfn.SWITCH($B$2,
"Laptop","Electronics",
"smartphone","Electronics",
"Tablet","Electronics",
"Headphones","Electronics",
"Blender","Kitchen",
"Coffee Maker","Kitchen",
"Sneakers","Fashion",
"T-shirt","Fashion",
""),
_xlfn.SWITCH(F32,
"Electroni","Electronics",
"Electronics","Electronics",
"Fashion","Fashion",
"Kitchen","Kitchen",
"Outdoor","Outdoor",
"Accessories","Accessories"))</f>
        <v>Fashion</v>
      </c>
      <c r="J32" s="11" t="str">
        <f>PROPER(I32)</f>
        <v>Fashion</v>
      </c>
      <c r="K32" s="19" t="str">
        <f>PROPER(CONCATENATE(B32,"-",C32))</f>
        <v>Sunglasses-Ray-Ban</v>
      </c>
      <c r="L32" s="23">
        <f t="shared" si="1"/>
        <v>45811</v>
      </c>
      <c r="M32" s="23" t="str">
        <f>TEXT(L32,"DD-MM-YYYY")</f>
        <v>03-06-2025</v>
      </c>
      <c r="N32" s="19" t="str">
        <f>RIGHT(A32,2)</f>
        <v>CA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4FAA49-07A2-4123-8D83-7EB70875B808}">
  <dimension ref="A1:I32"/>
  <sheetViews>
    <sheetView workbookViewId="0">
      <selection activeCell="B2" sqref="B2:B32"/>
    </sheetView>
  </sheetViews>
  <sheetFormatPr defaultRowHeight="15"/>
  <cols>
    <col min="1" max="1" width="14.28515625" customWidth="1"/>
    <col min="2" max="2" width="28.7109375" style="24" customWidth="1"/>
    <col min="3" max="3" width="24.140625" customWidth="1"/>
    <col min="4" max="4" width="20.140625" customWidth="1"/>
    <col min="5" max="5" width="17.42578125" customWidth="1"/>
    <col min="6" max="6" width="23.140625" customWidth="1"/>
    <col min="7" max="7" width="17" customWidth="1"/>
    <col min="8" max="8" width="11" bestFit="1" customWidth="1"/>
    <col min="9" max="9" width="14" customWidth="1"/>
  </cols>
  <sheetData>
    <row r="1" spans="1:9">
      <c r="A1" t="s">
        <v>19</v>
      </c>
      <c r="B1" s="25" t="s">
        <v>30</v>
      </c>
      <c r="C1" t="s">
        <v>32</v>
      </c>
      <c r="D1" t="s">
        <v>20</v>
      </c>
      <c r="E1" t="s">
        <v>21</v>
      </c>
      <c r="F1" t="s">
        <v>29</v>
      </c>
      <c r="G1" t="s">
        <v>124</v>
      </c>
      <c r="H1" t="s">
        <v>23</v>
      </c>
      <c r="I1" t="s">
        <v>24</v>
      </c>
    </row>
    <row r="2" spans="1:9" ht="15.75">
      <c r="A2" s="26" t="s">
        <v>33</v>
      </c>
      <c r="B2" s="28" t="s">
        <v>125</v>
      </c>
      <c r="C2" s="26" t="s">
        <v>126</v>
      </c>
      <c r="D2" s="26" t="s">
        <v>34</v>
      </c>
      <c r="E2" s="26" t="s">
        <v>35</v>
      </c>
      <c r="F2" s="26" t="s">
        <v>127</v>
      </c>
      <c r="G2" s="27">
        <v>1000</v>
      </c>
      <c r="H2" s="26">
        <v>30</v>
      </c>
      <c r="I2" s="26" t="s">
        <v>36</v>
      </c>
    </row>
    <row r="3" spans="1:9" ht="15.75">
      <c r="A3" s="26" t="s">
        <v>37</v>
      </c>
      <c r="B3" s="28" t="s">
        <v>128</v>
      </c>
      <c r="C3" s="26" t="s">
        <v>129</v>
      </c>
      <c r="D3" s="26" t="s">
        <v>34</v>
      </c>
      <c r="E3" s="26" t="s">
        <v>38</v>
      </c>
      <c r="F3" s="26" t="s">
        <v>130</v>
      </c>
      <c r="G3" s="27">
        <v>980</v>
      </c>
      <c r="H3" s="26">
        <v>10</v>
      </c>
      <c r="I3" s="26" t="s">
        <v>36</v>
      </c>
    </row>
    <row r="4" spans="1:9" ht="15.75">
      <c r="A4" s="26" t="s">
        <v>39</v>
      </c>
      <c r="B4" s="28" t="s">
        <v>131</v>
      </c>
      <c r="C4" s="26" t="s">
        <v>132</v>
      </c>
      <c r="D4" s="26" t="s">
        <v>40</v>
      </c>
      <c r="E4" s="26" t="s">
        <v>41</v>
      </c>
      <c r="F4" s="26" t="s">
        <v>133</v>
      </c>
      <c r="G4" s="27">
        <v>950</v>
      </c>
      <c r="H4" s="26">
        <v>25</v>
      </c>
      <c r="I4" s="26" t="s">
        <v>36</v>
      </c>
    </row>
    <row r="5" spans="1:9" ht="15.75">
      <c r="A5" s="26" t="s">
        <v>42</v>
      </c>
      <c r="B5" s="28" t="s">
        <v>134</v>
      </c>
      <c r="C5" s="26" t="s">
        <v>126</v>
      </c>
      <c r="D5" s="26" t="s">
        <v>43</v>
      </c>
      <c r="E5" s="26" t="s">
        <v>44</v>
      </c>
      <c r="F5" s="26" t="s">
        <v>135</v>
      </c>
      <c r="G5" s="27">
        <v>900</v>
      </c>
      <c r="H5" s="26">
        <v>25</v>
      </c>
      <c r="I5" s="26" t="s">
        <v>36</v>
      </c>
    </row>
    <row r="6" spans="1:9" ht="15.75">
      <c r="A6" s="26" t="s">
        <v>45</v>
      </c>
      <c r="B6" s="28" t="s">
        <v>136</v>
      </c>
      <c r="C6" s="26" t="s">
        <v>137</v>
      </c>
      <c r="D6" s="26" t="s">
        <v>46</v>
      </c>
      <c r="E6" s="26" t="s">
        <v>47</v>
      </c>
      <c r="F6" s="26" t="s">
        <v>138</v>
      </c>
      <c r="G6" s="27">
        <v>800</v>
      </c>
      <c r="H6" s="26">
        <v>45</v>
      </c>
      <c r="I6" s="26" t="s">
        <v>36</v>
      </c>
    </row>
    <row r="7" spans="1:9" ht="15.75">
      <c r="A7" s="26" t="s">
        <v>48</v>
      </c>
      <c r="B7" s="28" t="s">
        <v>139</v>
      </c>
      <c r="C7" s="26" t="s">
        <v>140</v>
      </c>
      <c r="D7" s="26" t="s">
        <v>49</v>
      </c>
      <c r="E7" s="26" t="s">
        <v>50</v>
      </c>
      <c r="F7" s="26" t="s">
        <v>141</v>
      </c>
      <c r="G7" s="27">
        <v>700</v>
      </c>
      <c r="H7" s="26">
        <v>50</v>
      </c>
      <c r="I7" s="26" t="s">
        <v>36</v>
      </c>
    </row>
    <row r="8" spans="1:9" ht="15.75">
      <c r="A8" s="26" t="s">
        <v>51</v>
      </c>
      <c r="B8" s="28" t="s">
        <v>142</v>
      </c>
      <c r="C8" s="26" t="s">
        <v>143</v>
      </c>
      <c r="D8" s="26" t="s">
        <v>52</v>
      </c>
      <c r="E8" s="26" t="s">
        <v>53</v>
      </c>
      <c r="F8" s="26" t="s">
        <v>144</v>
      </c>
      <c r="G8" s="27">
        <v>500</v>
      </c>
      <c r="H8" s="26">
        <v>50</v>
      </c>
      <c r="I8" s="26" t="s">
        <v>36</v>
      </c>
    </row>
    <row r="9" spans="1:9" ht="15.75">
      <c r="A9" s="26" t="s">
        <v>54</v>
      </c>
      <c r="B9" s="28" t="s">
        <v>145</v>
      </c>
      <c r="C9" s="26" t="s">
        <v>137</v>
      </c>
      <c r="D9" s="26" t="s">
        <v>55</v>
      </c>
      <c r="E9" s="26" t="s">
        <v>56</v>
      </c>
      <c r="F9" s="26" t="s">
        <v>146</v>
      </c>
      <c r="G9" s="27">
        <v>400</v>
      </c>
      <c r="H9" s="26">
        <v>40</v>
      </c>
      <c r="I9" s="26" t="s">
        <v>57</v>
      </c>
    </row>
    <row r="10" spans="1:9" ht="15.75">
      <c r="A10" s="26" t="s">
        <v>108</v>
      </c>
      <c r="B10" s="28" t="s">
        <v>147</v>
      </c>
      <c r="C10" s="26" t="s">
        <v>137</v>
      </c>
      <c r="D10" s="26" t="s">
        <v>109</v>
      </c>
      <c r="E10" s="26" t="s">
        <v>110</v>
      </c>
      <c r="F10" s="26" t="s">
        <v>148</v>
      </c>
      <c r="G10" s="27">
        <v>297.85714285714283</v>
      </c>
      <c r="H10" s="26">
        <v>50</v>
      </c>
      <c r="I10" s="26" t="s">
        <v>70</v>
      </c>
    </row>
    <row r="11" spans="1:9" ht="15.75">
      <c r="A11" s="26" t="s">
        <v>111</v>
      </c>
      <c r="B11" s="28" t="s">
        <v>149</v>
      </c>
      <c r="C11" s="26" t="s">
        <v>137</v>
      </c>
      <c r="D11" s="26" t="s">
        <v>112</v>
      </c>
      <c r="E11" s="26" t="s">
        <v>113</v>
      </c>
      <c r="F11" s="26" t="s">
        <v>150</v>
      </c>
      <c r="G11" s="27">
        <v>297.85714285714283</v>
      </c>
      <c r="H11" s="26">
        <v>10</v>
      </c>
      <c r="I11" s="26" t="s">
        <v>57</v>
      </c>
    </row>
    <row r="12" spans="1:9" ht="15.75">
      <c r="A12" s="26" t="s">
        <v>114</v>
      </c>
      <c r="B12" s="28" t="s">
        <v>151</v>
      </c>
      <c r="C12" s="26" t="s">
        <v>143</v>
      </c>
      <c r="D12" s="26" t="s">
        <v>115</v>
      </c>
      <c r="E12" s="26" t="s">
        <v>93</v>
      </c>
      <c r="F12" s="26" t="s">
        <v>152</v>
      </c>
      <c r="G12" s="27">
        <v>297.85714285714283</v>
      </c>
      <c r="H12" s="26">
        <v>5</v>
      </c>
      <c r="I12" s="26" t="s">
        <v>70</v>
      </c>
    </row>
    <row r="13" spans="1:9" ht="15.75">
      <c r="A13" s="26" t="s">
        <v>58</v>
      </c>
      <c r="B13" s="28" t="s">
        <v>153</v>
      </c>
      <c r="C13" s="26" t="s">
        <v>154</v>
      </c>
      <c r="D13" s="26" t="s">
        <v>59</v>
      </c>
      <c r="E13" s="26" t="s">
        <v>60</v>
      </c>
      <c r="F13" s="26" t="s">
        <v>155</v>
      </c>
      <c r="G13" s="27">
        <v>250</v>
      </c>
      <c r="H13" s="26">
        <v>20</v>
      </c>
      <c r="I13" s="26" t="s">
        <v>36</v>
      </c>
    </row>
    <row r="14" spans="1:9" ht="15.75">
      <c r="A14" s="26" t="s">
        <v>116</v>
      </c>
      <c r="B14" s="28" t="s">
        <v>156</v>
      </c>
      <c r="C14" s="26" t="s">
        <v>143</v>
      </c>
      <c r="D14" s="26" t="s">
        <v>117</v>
      </c>
      <c r="E14" s="26" t="s">
        <v>118</v>
      </c>
      <c r="F14" s="26" t="s">
        <v>157</v>
      </c>
      <c r="G14" s="27">
        <v>160</v>
      </c>
      <c r="H14" s="26">
        <v>45</v>
      </c>
      <c r="I14" s="26" t="s">
        <v>36</v>
      </c>
    </row>
    <row r="15" spans="1:9" ht="15.75">
      <c r="A15" s="26" t="s">
        <v>62</v>
      </c>
      <c r="B15" s="28" t="s">
        <v>158</v>
      </c>
      <c r="C15" s="26" t="s">
        <v>159</v>
      </c>
      <c r="D15" s="26" t="s">
        <v>63</v>
      </c>
      <c r="E15" s="26" t="s">
        <v>64</v>
      </c>
      <c r="F15" s="26" t="s">
        <v>160</v>
      </c>
      <c r="G15" s="27">
        <v>150</v>
      </c>
      <c r="H15" s="26">
        <v>15</v>
      </c>
      <c r="I15" s="26" t="s">
        <v>36</v>
      </c>
    </row>
    <row r="16" spans="1:9" ht="15.75">
      <c r="A16" s="26" t="s">
        <v>65</v>
      </c>
      <c r="B16" s="28" t="s">
        <v>161</v>
      </c>
      <c r="C16" s="26" t="s">
        <v>137</v>
      </c>
      <c r="D16" s="26" t="s">
        <v>63</v>
      </c>
      <c r="E16" s="26" t="s">
        <v>66</v>
      </c>
      <c r="F16" s="26" t="s">
        <v>162</v>
      </c>
      <c r="G16" s="27">
        <v>150</v>
      </c>
      <c r="H16" s="26">
        <v>15</v>
      </c>
      <c r="I16" s="26" t="s">
        <v>36</v>
      </c>
    </row>
    <row r="17" spans="1:9" ht="15.75">
      <c r="A17" s="26" t="s">
        <v>67</v>
      </c>
      <c r="B17" s="28" t="s">
        <v>163</v>
      </c>
      <c r="C17" s="26" t="s">
        <v>143</v>
      </c>
      <c r="D17" s="26" t="s">
        <v>68</v>
      </c>
      <c r="E17" s="26" t="s">
        <v>69</v>
      </c>
      <c r="F17" s="26" t="s">
        <v>164</v>
      </c>
      <c r="G17" s="27">
        <v>150</v>
      </c>
      <c r="H17" s="26">
        <v>15</v>
      </c>
      <c r="I17" s="26" t="s">
        <v>70</v>
      </c>
    </row>
    <row r="18" spans="1:9" ht="15.75">
      <c r="A18" s="26" t="s">
        <v>71</v>
      </c>
      <c r="B18" s="28" t="s">
        <v>165</v>
      </c>
      <c r="C18" s="26" t="s">
        <v>166</v>
      </c>
      <c r="D18" s="26" t="s">
        <v>72</v>
      </c>
      <c r="E18" s="26" t="s">
        <v>73</v>
      </c>
      <c r="F18" s="26" t="s">
        <v>167</v>
      </c>
      <c r="G18" s="27">
        <v>130</v>
      </c>
      <c r="H18" s="26">
        <v>30</v>
      </c>
      <c r="I18" s="26" t="s">
        <v>36</v>
      </c>
    </row>
    <row r="19" spans="1:9" ht="15.75">
      <c r="A19" s="26" t="s">
        <v>74</v>
      </c>
      <c r="B19" s="28" t="s">
        <v>168</v>
      </c>
      <c r="C19" s="26" t="s">
        <v>126</v>
      </c>
      <c r="D19" s="26" t="s">
        <v>75</v>
      </c>
      <c r="E19" s="26" t="s">
        <v>76</v>
      </c>
      <c r="F19" s="26" t="s">
        <v>169</v>
      </c>
      <c r="G19" s="27">
        <v>130</v>
      </c>
      <c r="H19" s="26">
        <v>40</v>
      </c>
      <c r="I19" s="26" t="s">
        <v>57</v>
      </c>
    </row>
    <row r="20" spans="1:9" ht="15.75">
      <c r="A20" s="26" t="s">
        <v>77</v>
      </c>
      <c r="B20" s="28" t="s">
        <v>170</v>
      </c>
      <c r="C20" s="26" t="s">
        <v>143</v>
      </c>
      <c r="D20" s="26" t="s">
        <v>78</v>
      </c>
      <c r="E20" s="26" t="s">
        <v>79</v>
      </c>
      <c r="F20" s="26" t="s">
        <v>171</v>
      </c>
      <c r="G20" s="27">
        <v>130</v>
      </c>
      <c r="H20" s="26">
        <v>10</v>
      </c>
      <c r="I20" s="26" t="s">
        <v>80</v>
      </c>
    </row>
    <row r="21" spans="1:9" ht="15.75">
      <c r="A21" s="26" t="s">
        <v>119</v>
      </c>
      <c r="B21" s="28" t="s">
        <v>172</v>
      </c>
      <c r="C21" s="26" t="s">
        <v>126</v>
      </c>
      <c r="D21" s="26" t="s">
        <v>120</v>
      </c>
      <c r="E21" s="26" t="s">
        <v>121</v>
      </c>
      <c r="F21" s="26" t="s">
        <v>173</v>
      </c>
      <c r="G21" s="27">
        <v>120</v>
      </c>
      <c r="H21" s="26">
        <v>10</v>
      </c>
      <c r="I21" s="26" t="s">
        <v>80</v>
      </c>
    </row>
    <row r="22" spans="1:9" ht="15.75">
      <c r="A22" s="26" t="s">
        <v>81</v>
      </c>
      <c r="B22" s="28" t="s">
        <v>174</v>
      </c>
      <c r="C22" s="26" t="s">
        <v>137</v>
      </c>
      <c r="D22" s="26" t="s">
        <v>72</v>
      </c>
      <c r="E22" s="26" t="s">
        <v>82</v>
      </c>
      <c r="F22" s="26" t="s">
        <v>175</v>
      </c>
      <c r="G22" s="27">
        <v>100</v>
      </c>
      <c r="H22" s="26">
        <v>5</v>
      </c>
      <c r="I22" s="26" t="s">
        <v>36</v>
      </c>
    </row>
    <row r="23" spans="1:9" ht="15.75">
      <c r="A23" s="26" t="s">
        <v>83</v>
      </c>
      <c r="B23" s="28" t="s">
        <v>176</v>
      </c>
      <c r="C23" s="26" t="s">
        <v>177</v>
      </c>
      <c r="D23" s="26" t="s">
        <v>75</v>
      </c>
      <c r="E23" s="26" t="s">
        <v>84</v>
      </c>
      <c r="F23" s="26" t="s">
        <v>178</v>
      </c>
      <c r="G23" s="27">
        <v>90</v>
      </c>
      <c r="H23" s="26">
        <v>35</v>
      </c>
      <c r="I23" s="26" t="s">
        <v>36</v>
      </c>
    </row>
    <row r="24" spans="1:9" ht="15.75">
      <c r="A24" s="26" t="s">
        <v>85</v>
      </c>
      <c r="B24" s="28" t="s">
        <v>179</v>
      </c>
      <c r="C24" s="26" t="s">
        <v>180</v>
      </c>
      <c r="D24" s="26" t="s">
        <v>86</v>
      </c>
      <c r="E24" s="26" t="s">
        <v>87</v>
      </c>
      <c r="F24" s="26" t="s">
        <v>181</v>
      </c>
      <c r="G24" s="27">
        <v>90</v>
      </c>
      <c r="H24" s="26">
        <v>20</v>
      </c>
      <c r="I24" s="26" t="s">
        <v>88</v>
      </c>
    </row>
    <row r="25" spans="1:9" ht="15.75">
      <c r="A25" s="26" t="s">
        <v>89</v>
      </c>
      <c r="B25" s="28" t="s">
        <v>182</v>
      </c>
      <c r="C25" s="26" t="s">
        <v>143</v>
      </c>
      <c r="D25" s="26" t="s">
        <v>55</v>
      </c>
      <c r="E25" s="26" t="s">
        <v>90</v>
      </c>
      <c r="F25" s="26" t="s">
        <v>183</v>
      </c>
      <c r="G25" s="27">
        <v>80</v>
      </c>
      <c r="H25" s="26">
        <v>35</v>
      </c>
      <c r="I25" s="26" t="s">
        <v>57</v>
      </c>
    </row>
    <row r="26" spans="1:9" ht="15.75">
      <c r="A26" s="26" t="s">
        <v>91</v>
      </c>
      <c r="B26" s="28" t="s">
        <v>184</v>
      </c>
      <c r="C26" s="26" t="s">
        <v>185</v>
      </c>
      <c r="D26" s="26" t="s">
        <v>92</v>
      </c>
      <c r="E26" s="26" t="s">
        <v>93</v>
      </c>
      <c r="F26" s="26" t="s">
        <v>186</v>
      </c>
      <c r="G26" s="27">
        <v>80</v>
      </c>
      <c r="H26" s="26">
        <v>40</v>
      </c>
      <c r="I26" s="26" t="s">
        <v>36</v>
      </c>
    </row>
    <row r="27" spans="1:9" ht="15.75">
      <c r="A27" s="26" t="s">
        <v>94</v>
      </c>
      <c r="B27" s="28" t="s">
        <v>187</v>
      </c>
      <c r="C27" s="26" t="s">
        <v>126</v>
      </c>
      <c r="D27" s="26" t="s">
        <v>92</v>
      </c>
      <c r="E27" s="26" t="s">
        <v>95</v>
      </c>
      <c r="F27" s="26" t="s">
        <v>188</v>
      </c>
      <c r="G27" s="27">
        <v>70</v>
      </c>
      <c r="H27" s="26">
        <v>15</v>
      </c>
      <c r="I27" s="26" t="s">
        <v>70</v>
      </c>
    </row>
    <row r="28" spans="1:9" ht="15.75">
      <c r="A28" s="26" t="s">
        <v>96</v>
      </c>
      <c r="B28" s="28" t="s">
        <v>189</v>
      </c>
      <c r="C28" s="26" t="s">
        <v>137</v>
      </c>
      <c r="D28" s="26" t="s">
        <v>97</v>
      </c>
      <c r="E28" s="26" t="s">
        <v>98</v>
      </c>
      <c r="F28" s="26" t="s">
        <v>190</v>
      </c>
      <c r="G28" s="27">
        <v>60</v>
      </c>
      <c r="H28" s="26">
        <v>20</v>
      </c>
      <c r="I28" s="26" t="s">
        <v>57</v>
      </c>
    </row>
    <row r="29" spans="1:9" ht="15.75">
      <c r="A29" s="26" t="s">
        <v>122</v>
      </c>
      <c r="B29" s="28" t="s">
        <v>156</v>
      </c>
      <c r="C29" s="26" t="s">
        <v>137</v>
      </c>
      <c r="D29" s="26" t="s">
        <v>68</v>
      </c>
      <c r="E29" s="26" t="s">
        <v>123</v>
      </c>
      <c r="F29" s="26" t="s">
        <v>191</v>
      </c>
      <c r="G29" s="27">
        <v>50</v>
      </c>
      <c r="H29" s="26">
        <v>25</v>
      </c>
      <c r="I29" s="26" t="s">
        <v>70</v>
      </c>
    </row>
    <row r="30" spans="1:9" ht="15.75">
      <c r="A30" s="26" t="s">
        <v>99</v>
      </c>
      <c r="B30" s="28" t="s">
        <v>192</v>
      </c>
      <c r="C30" s="26" t="s">
        <v>126</v>
      </c>
      <c r="D30" s="26" t="s">
        <v>100</v>
      </c>
      <c r="E30" s="26" t="s">
        <v>101</v>
      </c>
      <c r="F30" s="26" t="s">
        <v>193</v>
      </c>
      <c r="G30" s="27">
        <v>50</v>
      </c>
      <c r="H30" s="26">
        <v>20</v>
      </c>
      <c r="I30" s="26" t="s">
        <v>36</v>
      </c>
    </row>
    <row r="31" spans="1:9" ht="15.75">
      <c r="A31" s="26" t="s">
        <v>102</v>
      </c>
      <c r="B31" s="28" t="s">
        <v>194</v>
      </c>
      <c r="C31" s="26" t="s">
        <v>137</v>
      </c>
      <c r="D31" s="26" t="s">
        <v>103</v>
      </c>
      <c r="E31" s="26" t="s">
        <v>104</v>
      </c>
      <c r="F31" s="26" t="s">
        <v>195</v>
      </c>
      <c r="G31" s="27">
        <v>40</v>
      </c>
      <c r="H31" s="26">
        <v>30</v>
      </c>
      <c r="I31" s="26" t="s">
        <v>70</v>
      </c>
    </row>
    <row r="32" spans="1:9" ht="15.75">
      <c r="A32" s="26" t="s">
        <v>105</v>
      </c>
      <c r="B32" s="28" t="s">
        <v>196</v>
      </c>
      <c r="C32" s="26" t="s">
        <v>137</v>
      </c>
      <c r="D32" s="26" t="s">
        <v>106</v>
      </c>
      <c r="E32" s="26" t="s">
        <v>107</v>
      </c>
      <c r="F32" s="26" t="s">
        <v>197</v>
      </c>
      <c r="G32" s="27">
        <v>30</v>
      </c>
      <c r="H32" s="26">
        <v>35</v>
      </c>
      <c r="I32" s="26" t="s">
        <v>88</v>
      </c>
    </row>
  </sheetData>
  <conditionalFormatting sqref="G2:G32">
    <cfRule type="colorScale" priority="4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H1:H1048576">
    <cfRule type="iconSet" priority="2">
      <iconSet iconSet="4Arrows">
        <cfvo type="percent" val="0"/>
        <cfvo type="percent" val="25"/>
        <cfvo type="percent" val="50"/>
        <cfvo type="percent" val="75"/>
      </iconSet>
    </cfRule>
  </conditionalFormatting>
  <conditionalFormatting sqref="I2:I32">
    <cfRule type="cellIs" dxfId="10" priority="1" operator="between">
      <formula>$I$2</formula>
      <formula>$I$27</formula>
    </cfRule>
  </conditionalFormatting>
  <pageMargins left="0.7" right="0.7" top="0.75" bottom="0.75" header="0.3" footer="0.3"/>
  <tableParts count="1">
    <tablePart r:id="rId1"/>
  </tableParts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iconSet" priority="3" id="{CB64012E-C95A-44E5-98BF-63EF499C48BF}">
            <x14:iconSet iconSet="3Triangles">
              <x14:cfvo type="percent">
                <xm:f>0</xm:f>
              </x14:cfvo>
              <x14:cfvo type="percent">
                <xm:f>33</xm:f>
              </x14:cfvo>
              <x14:cfvo type="percent">
                <xm:f>67</xm:f>
              </x14:cfvo>
            </x14:iconSet>
          </x14:cfRule>
          <xm:sqref>H1:H1048576</xm:sqref>
        </x14:conditionalFormatting>
      </x14:conditionalFormatting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2026-01-06T16:04:49Z</dcterms:created>
  <dcterms:modified xsi:type="dcterms:W3CDTF">2026-01-08T08:43:39Z</dcterms:modified>
  <cp:category/>
  <cp:contentStatus/>
</cp:coreProperties>
</file>